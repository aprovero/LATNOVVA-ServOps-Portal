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novvamexico-my.sharepoint.com/personal/aprovero_latnovva_com/Documents/Internal/SHAREPOINT2/SHAREPOINT2/"/>
    </mc:Choice>
  </mc:AlternateContent>
  <xr:revisionPtr revIDLastSave="1" documentId="8_{880EB587-AAF2-4726-9363-CF9A8B779589}" xr6:coauthVersionLast="47" xr6:coauthVersionMax="47" xr10:uidLastSave="{78978F91-A4A8-434C-B70F-A431E762431F}"/>
  <bookViews>
    <workbookView xWindow="-12285" yWindow="-16350" windowWidth="29040" windowHeight="16440" tabRatio="491" xr2:uid="{8F261710-A223-4266-B52D-1C5A7D1736AE}"/>
  </bookViews>
  <sheets>
    <sheet name="Hoja1" sheetId="1" r:id="rId1"/>
    <sheet name="Hoja2" sheetId="2" state="hidden" r:id="rId2"/>
  </sheets>
  <definedNames>
    <definedName name="_xlnm._FilterDatabase" localSheetId="0" hidden="1">Hoja1!$B$4:$AT$15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6" i="1" l="1"/>
  <c r="AP5" i="1"/>
  <c r="AQ5" i="1"/>
  <c r="AP6" i="1"/>
  <c r="AQ6" i="1"/>
  <c r="AR6" i="1" s="1"/>
  <c r="AS6" i="1" s="1"/>
  <c r="AP7" i="1"/>
  <c r="AQ7" i="1"/>
  <c r="AP8" i="1"/>
  <c r="AQ8" i="1"/>
  <c r="AR8" i="1" s="1"/>
  <c r="AS8" i="1" s="1"/>
  <c r="AP9" i="1"/>
  <c r="AQ9" i="1"/>
  <c r="AR9" i="1" s="1"/>
  <c r="AS9" i="1" s="1"/>
  <c r="AP10" i="1"/>
  <c r="AQ10" i="1"/>
  <c r="AP11" i="1"/>
  <c r="AQ11" i="1"/>
  <c r="AP12" i="1"/>
  <c r="AQ12" i="1"/>
  <c r="AP13" i="1"/>
  <c r="AQ13" i="1"/>
  <c r="AP14" i="1"/>
  <c r="AQ14" i="1"/>
  <c r="AR14" i="1" s="1"/>
  <c r="AS14" i="1" s="1"/>
  <c r="AP15" i="1"/>
  <c r="AQ15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1" i="2"/>
  <c r="AR5" i="1" l="1"/>
  <c r="AS5" i="1" s="1"/>
  <c r="AR13" i="1"/>
  <c r="AS13" i="1" s="1"/>
  <c r="AR10" i="1"/>
  <c r="AS10" i="1" s="1"/>
  <c r="AR15" i="1"/>
  <c r="AS15" i="1" s="1"/>
  <c r="AR7" i="1"/>
  <c r="AS7" i="1" s="1"/>
  <c r="AR11" i="1"/>
  <c r="AS11" i="1" s="1"/>
  <c r="AR12" i="1"/>
  <c r="AS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Jacqueline Martinez</author>
  </authors>
  <commentList>
    <comment ref="AO14" authorId="0" shapeId="0" xr:uid="{3DA9411A-83EB-4062-80D6-025D3216DE1F}">
      <text>
        <r>
          <rPr>
            <b/>
            <sz val="9"/>
            <color indexed="81"/>
            <rFont val="Tahoma"/>
            <family val="2"/>
          </rPr>
          <t>Jacqueline Martinez:</t>
        </r>
        <r>
          <rPr>
            <sz val="9"/>
            <color indexed="81"/>
            <rFont val="Tahoma"/>
            <family val="2"/>
          </rPr>
          <t xml:space="preserve">
Descuento de Préstamo Personal 7/19</t>
        </r>
      </text>
    </comment>
  </commentList>
</comments>
</file>

<file path=xl/sharedStrings.xml><?xml version="1.0" encoding="utf-8"?>
<sst xmlns="http://schemas.openxmlformats.org/spreadsheetml/2006/main" count="311" uniqueCount="164">
  <si>
    <t>ESTATUS</t>
  </si>
  <si>
    <t>REGISTRO PATRONAL</t>
  </si>
  <si>
    <t>EMPRESA</t>
  </si>
  <si>
    <t xml:space="preserve">ALTA IMSS </t>
  </si>
  <si>
    <t>FECHA INGRESO</t>
  </si>
  <si>
    <t>NOMBRE</t>
  </si>
  <si>
    <t>PROYECTO</t>
  </si>
  <si>
    <t>PUESTO</t>
  </si>
  <si>
    <t>TIPO DE NOMINA</t>
  </si>
  <si>
    <t>NOMINA IMSS</t>
  </si>
  <si>
    <t>NOMINA PPP</t>
  </si>
  <si>
    <t xml:space="preserve">TOTAL NÓMINA MENSUAL </t>
  </si>
  <si>
    <t>VACACIONES</t>
  </si>
  <si>
    <t>FALTAS</t>
  </si>
  <si>
    <t>DIAS TRABAJADOS</t>
  </si>
  <si>
    <t>INGRESOS VARIOS</t>
  </si>
  <si>
    <t>VIATICOS</t>
  </si>
  <si>
    <t>HORAS EXTRAS CARTA</t>
  </si>
  <si>
    <t>HORAS EXTRAS</t>
  </si>
  <si>
    <t>TOTAL</t>
  </si>
  <si>
    <t>SUELDO BRUTO IMSS</t>
  </si>
  <si>
    <t>SD</t>
  </si>
  <si>
    <t>SDI</t>
  </si>
  <si>
    <t>DIAS LAB nomina</t>
  </si>
  <si>
    <t>SUELDO</t>
  </si>
  <si>
    <t>AGUINALDO</t>
  </si>
  <si>
    <t>BONO ASISTENCIA</t>
  </si>
  <si>
    <t>RETROACTIVO</t>
  </si>
  <si>
    <t>INCAPACIDAD PAGADA POR LA EMPRESA</t>
  </si>
  <si>
    <t>INFONAVIT</t>
  </si>
  <si>
    <t>ISR-FISCAL</t>
  </si>
  <si>
    <t>IMSS</t>
  </si>
  <si>
    <t>NETO A PAGAR</t>
  </si>
  <si>
    <t>DESCUENTOS</t>
  </si>
  <si>
    <t>TOTAL NOMINA SYS</t>
  </si>
  <si>
    <t>TOTAL NOMINA PRODUCTIVIDAD</t>
  </si>
  <si>
    <t>SALARIO TOTAL QUINCENAL</t>
  </si>
  <si>
    <t>BONO PUNTUALIDAD</t>
  </si>
  <si>
    <t>TOTAL PERCEPCIÓN</t>
  </si>
  <si>
    <t>TOTAL DEDUCCIÓN</t>
  </si>
  <si>
    <t>ACERETOPECHLUCILAIVETH</t>
  </si>
  <si>
    <t>AGUILARVAZQUEZRAUL</t>
  </si>
  <si>
    <t>ALONSOCRUZFREDY</t>
  </si>
  <si>
    <t>ALTAMIRANOMORALESJAVIERALBERTO</t>
  </si>
  <si>
    <t>ANTONIOLEONJOSE</t>
  </si>
  <si>
    <t>ANTONIOVAZQUEZIVAN</t>
  </si>
  <si>
    <t>ARCIGAPOOTJAVIERALEJANDRO</t>
  </si>
  <si>
    <t>ARCINIEGAESCALANTEMAURICIO</t>
  </si>
  <si>
    <t>ARELLANOHERRERAMARIOIVAN</t>
  </si>
  <si>
    <t>ARROYOMIJANGOSLUISDANIEL</t>
  </si>
  <si>
    <t>BECERRAPADRONGUSTAVOADRIAN</t>
  </si>
  <si>
    <t>BENITEZCERVERAALBERTO</t>
  </si>
  <si>
    <t>BRICEÑOBENITESDUNCANALBERTO</t>
  </si>
  <si>
    <t>CABANILLASDIAZLORENZOMARIA</t>
  </si>
  <si>
    <t>CABRERAPEREZOLIVEROSWALDO</t>
  </si>
  <si>
    <t>CALIXTOANGELALEXIS</t>
  </si>
  <si>
    <t>CAMPOSTUZFRANCISCOJAVIER</t>
  </si>
  <si>
    <t>CANSECOECHEVERRIAURIELAARON</t>
  </si>
  <si>
    <t>CANULVILCHISCHRISTIANJOSE</t>
  </si>
  <si>
    <t>CARDENASROJASYAZMIN</t>
  </si>
  <si>
    <t>CARRASCOCHEVEZLESLY</t>
  </si>
  <si>
    <t>CASASHERNANDEZDONALDO</t>
  </si>
  <si>
    <t>CHEMOOMANUELRODOLFO</t>
  </si>
  <si>
    <t>CHIVITEALEJANDRESEBASTIAN</t>
  </si>
  <si>
    <t>CONTRERASCHELJOAQUINALBERTODELACRUZ</t>
  </si>
  <si>
    <t>CRUZLEGARREACARLOSDAVID</t>
  </si>
  <si>
    <t>DELACRUZTRUJILLOBLANCAIRENE</t>
  </si>
  <si>
    <t>DELACRUZVAZQUEZEMANUEL</t>
  </si>
  <si>
    <t>DELRIOGONZALEZDAVIDURIEL</t>
  </si>
  <si>
    <t>DEMEZAMORENOLUISFERNANDO</t>
  </si>
  <si>
    <t>DIASSALBADORIGNACIO</t>
  </si>
  <si>
    <t>DIAZMORENOFELIPEADRIAN</t>
  </si>
  <si>
    <t>DOMINGUEZDIAZCANCINO</t>
  </si>
  <si>
    <t>ESCALANTEESQUIVELDIEGOISAIAS</t>
  </si>
  <si>
    <t>ESPINOSAKUMIGUELANGEL</t>
  </si>
  <si>
    <t>EUANCHANCARLOSANTONIO</t>
  </si>
  <si>
    <t>FABIANFABIANMAYTE</t>
  </si>
  <si>
    <t>FLORESPEREGRINOCESAREDUARDO</t>
  </si>
  <si>
    <t>FREYREARENASDANIEL</t>
  </si>
  <si>
    <t>FRIASGOMEZSERGIOANTONIO</t>
  </si>
  <si>
    <t>FRIASSANDOVALJULIOCESAR</t>
  </si>
  <si>
    <t>GALANGARCIAJOSEDEJESUS</t>
  </si>
  <si>
    <t>GALUECARRILLOALEJANDRO</t>
  </si>
  <si>
    <t>HERNANDEZDEDIOSLUISARTURO</t>
  </si>
  <si>
    <t>HERNANDEZROMOENRIQUEARTURO</t>
  </si>
  <si>
    <t>HUERVOPATRACAURIELSADAMI</t>
  </si>
  <si>
    <t>HUERVOSOTOJUANCARLOS</t>
  </si>
  <si>
    <t>JIMENEZMADRIGALEMMANUEL</t>
  </si>
  <si>
    <t>JIMENEZVARGASJOSE</t>
  </si>
  <si>
    <t>JUAREZORTIZEDHEREMMANUEL</t>
  </si>
  <si>
    <t>LIRASANCHEZHUGOFRANCISCO</t>
  </si>
  <si>
    <t>LLANOSCUASCLEJOSEDAVID</t>
  </si>
  <si>
    <t>LOPEZGUELJOSEDEJESUS</t>
  </si>
  <si>
    <t>LOPEZHERNANDEZJORGELUIS</t>
  </si>
  <si>
    <t>LOPEZORTIZERNESTO</t>
  </si>
  <si>
    <t>LOPEZRODRIGUEZVICTORMANUEL</t>
  </si>
  <si>
    <t>MARINMEDINARODRIGOISMAEL</t>
  </si>
  <si>
    <t>MARTINEZBRISEÑOJACQUELINE</t>
  </si>
  <si>
    <t>MARTINEZCARTASKEVING</t>
  </si>
  <si>
    <t>MARTINEZSANTILLANFERNANDO</t>
  </si>
  <si>
    <t>MENDEZGILDARLACAROLINA</t>
  </si>
  <si>
    <t>MENDOZAGUERRACRUZBELEN</t>
  </si>
  <si>
    <t>MIRANDACOCOMLUISANTONIO</t>
  </si>
  <si>
    <t>MIRANDAMONTIELMARCOANTONIO</t>
  </si>
  <si>
    <t>MONDRAGONMORENOJOSERICARDO</t>
  </si>
  <si>
    <t>MOOCAUICHPABLOALFREDO</t>
  </si>
  <si>
    <t>MORENOSOSAXOCHITLLIZBET</t>
  </si>
  <si>
    <t>NAFATEJUAREZANGELANTONIO</t>
  </si>
  <si>
    <t>NAJERAGONZALEZJULIOCESAR</t>
  </si>
  <si>
    <t>OROZCOKUCHRISTIANANDRES</t>
  </si>
  <si>
    <t>ORTEGABURGOSMIGUELANGEL</t>
  </si>
  <si>
    <t>OSORIOGARCIAMANUEL</t>
  </si>
  <si>
    <t>PACHECOENCINASPEDROELIACIB</t>
  </si>
  <si>
    <t>PECHPECHANTONIODEJESUS</t>
  </si>
  <si>
    <t>PECHPECHRUBENANTONIO</t>
  </si>
  <si>
    <t>PEREGRINOCRUZCARLOSADRIAN</t>
  </si>
  <si>
    <t>PEREZPEDRAZAJESEROCTAVIO</t>
  </si>
  <si>
    <t>RAMIREZPEREZGERARDO</t>
  </si>
  <si>
    <t>REYESBAQUEDANOSILVIAMARIELA</t>
  </si>
  <si>
    <t>RIVEROESCAMILLAASAELANTONIO</t>
  </si>
  <si>
    <t>ROBLESAQUINOBRAAYANOSVALDO</t>
  </si>
  <si>
    <t>RODRIGUEZGARCIADINORAH</t>
  </si>
  <si>
    <t>RUIZPIÑEROSJUANCAMILO</t>
  </si>
  <si>
    <t>SANTIAGOSALAZARMARIOSALVADOR</t>
  </si>
  <si>
    <t>TOMASINIANZAALEJANDRO</t>
  </si>
  <si>
    <t>TORRESHIGUERAEDUARDOARTURO</t>
  </si>
  <si>
    <t>TORRESIBARRAJUAN</t>
  </si>
  <si>
    <t>TORRUCOCOLORADOROCIOALEJANDRA</t>
  </si>
  <si>
    <t>TRINIDADOLVERAAURELIO</t>
  </si>
  <si>
    <t>TRINIDADPEREZRAMIRO</t>
  </si>
  <si>
    <t>TRUJILLOLUISRONALDOBALTAZAR</t>
  </si>
  <si>
    <t>VALDEZGUTIERREZVICTORAURELIANO</t>
  </si>
  <si>
    <t>VALVERDERODRIGUEZMARIOEDER</t>
  </si>
  <si>
    <t>VARELAVALENCIAANALUCIA</t>
  </si>
  <si>
    <t>VAZQUEZBORGESJULIOMAURICIO</t>
  </si>
  <si>
    <t>INCAPACIDADES</t>
  </si>
  <si>
    <t>ACTIVO</t>
  </si>
  <si>
    <t>G6110696100</t>
  </si>
  <si>
    <t>SYS</t>
  </si>
  <si>
    <t>QUINCENAL</t>
  </si>
  <si>
    <t>LATNOVVA</t>
  </si>
  <si>
    <t>EST-LNV-000 CDMX</t>
  </si>
  <si>
    <t>Y6118208104</t>
  </si>
  <si>
    <t xml:space="preserve">MARTINEZ BRISEÑO JACQUELINE </t>
  </si>
  <si>
    <t>MENA GRIJALVA MARIO ALBERTO</t>
  </si>
  <si>
    <t>RESPONSABLE COMERCIAL</t>
  </si>
  <si>
    <t>MIRANDA MONTIEL MARCO ANTONIO</t>
  </si>
  <si>
    <t>AUXILIAR DE RH</t>
  </si>
  <si>
    <t>ORTIZ MEDINA MANUEL JESUS</t>
  </si>
  <si>
    <t>GERENTE DE COMPRAS</t>
  </si>
  <si>
    <t xml:space="preserve">REYES MONTES DE OCA JUANA DEL CARMEN </t>
  </si>
  <si>
    <t>GERENTE DE ADMINISTRACION Y CONTABILIDAD</t>
  </si>
  <si>
    <t>SANTIAGO CASTRO MIGUEL ANGEL</t>
  </si>
  <si>
    <t>TECNICO DE ESTUDIO Y OFERTA</t>
  </si>
  <si>
    <t>TRINIDAD OLVERA AURELIO</t>
  </si>
  <si>
    <t>RESPONSABLE DE COMPRAS</t>
  </si>
  <si>
    <t>RAMOS ESQUIVEL BRENDA ITZEHL</t>
  </si>
  <si>
    <t>TECNICO DE CUENTAS POR PAGAR Y COBRAR</t>
  </si>
  <si>
    <t>ESPECIALISTA SENIOR EN RECLUTAMIENTO Y SELECCIÓN</t>
  </si>
  <si>
    <t>MARIN HERES MARIA DEL ROCIO MAVILA</t>
  </si>
  <si>
    <t>RESPONSABLE DE NOMINA</t>
  </si>
  <si>
    <t>VALERIO LUNA ARTURO</t>
  </si>
  <si>
    <t>JALDO RONQUILLO DANIEL</t>
  </si>
  <si>
    <t>DIRECTOR DE CONSTRUCCIÓN EN GENERACIÓN DISTRIBUIDA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</si>
</sst>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92A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9" fillId="0" borderId="1" xfId="1" applyFont="1" applyFill="1" applyBorder="1" applyAlignment="1">
      <alignment vertical="center"/>
    </xf>
    <xf numFmtId="44" fontId="9" fillId="0" borderId="11" xfId="1" applyFont="1" applyFill="1" applyBorder="1" applyAlignment="1">
      <alignment vertical="center"/>
    </xf>
    <xf numFmtId="44" fontId="5" fillId="0" borderId="1" xfId="1" applyFont="1" applyFill="1" applyBorder="1" applyAlignment="1">
      <alignment vertical="center"/>
    </xf>
    <xf numFmtId="44" fontId="9" fillId="0" borderId="10" xfId="1" applyFont="1" applyFill="1" applyBorder="1" applyAlignment="1">
      <alignment vertical="center"/>
    </xf>
    <xf numFmtId="44" fontId="0" fillId="0" borderId="0" xfId="1" applyFont="1" applyAlignment="1">
      <alignment vertical="center"/>
    </xf>
    <xf numFmtId="0" fontId="4" fillId="0" borderId="1" xfId="0" applyFont="1" applyBorder="1" applyAlignment="1">
      <alignment vertical="center" wrapText="1"/>
    </xf>
    <xf numFmtId="44" fontId="5" fillId="0" borderId="3" xfId="1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14" fontId="3" fillId="0" borderId="18" xfId="0" applyNumberFormat="1" applyFont="1" applyBorder="1" applyAlignment="1">
      <alignment horizontal="left" vertical="center" wrapText="1"/>
    </xf>
    <xf numFmtId="0" fontId="3" fillId="5" borderId="18" xfId="0" applyFont="1" applyFill="1" applyBorder="1" applyAlignment="1">
      <alignment horizontal="left" vertical="center"/>
    </xf>
    <xf numFmtId="14" fontId="3" fillId="0" borderId="18" xfId="0" applyNumberFormat="1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14" fontId="3" fillId="6" borderId="18" xfId="0" applyNumberFormat="1" applyFont="1" applyFill="1" applyBorder="1" applyAlignment="1">
      <alignment horizontal="left" vertical="center" wrapText="1"/>
    </xf>
    <xf numFmtId="14" fontId="3" fillId="6" borderId="18" xfId="0" applyNumberFormat="1" applyFont="1" applyFill="1" applyBorder="1" applyAlignment="1">
      <alignment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vertical="center" wrapText="1"/>
    </xf>
    <xf numFmtId="0" fontId="4" fillId="6" borderId="18" xfId="0" quotePrefix="1" applyFont="1" applyFill="1" applyBorder="1" applyAlignment="1">
      <alignment vertical="center" wrapText="1"/>
    </xf>
    <xf numFmtId="0" fontId="4" fillId="5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left" vertical="top"/>
    </xf>
    <xf numFmtId="14" fontId="3" fillId="6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0" fontId="10" fillId="0" borderId="1" xfId="0" applyFont="1" applyBorder="1"/>
    <xf numFmtId="0" fontId="10" fillId="4" borderId="1" xfId="0" applyFont="1" applyFill="1" applyBorder="1"/>
    <xf numFmtId="0" fontId="10" fillId="7" borderId="1" xfId="0" applyFont="1" applyFill="1" applyBorder="1"/>
    <xf numFmtId="0" fontId="10" fillId="0" borderId="0" xfId="0" applyFont="1"/>
    <xf numFmtId="0" fontId="10" fillId="7" borderId="0" xfId="0" applyFont="1" applyFill="1"/>
    <xf numFmtId="0" fontId="10" fillId="4" borderId="0" xfId="0" applyFont="1" applyFill="1"/>
    <xf numFmtId="44" fontId="9" fillId="0" borderId="1" xfId="1" applyFont="1" applyFill="1" applyBorder="1"/>
    <xf numFmtId="44" fontId="9" fillId="0" borderId="1" xfId="1" applyFont="1" applyFill="1" applyBorder="1" applyAlignment="1">
      <alignment vertical="center" wrapText="1"/>
    </xf>
    <xf numFmtId="44" fontId="9" fillId="0" borderId="9" xfId="1" applyFont="1" applyFill="1" applyBorder="1" applyAlignment="1">
      <alignment vertical="center" wrapText="1"/>
    </xf>
    <xf numFmtId="44" fontId="9" fillId="0" borderId="11" xfId="1" applyFont="1" applyFill="1" applyBorder="1" applyAlignment="1">
      <alignment vertical="center" wrapText="1"/>
    </xf>
    <xf numFmtId="44" fontId="10" fillId="0" borderId="1" xfId="1" applyFont="1" applyFill="1" applyBorder="1"/>
    <xf numFmtId="44" fontId="4" fillId="0" borderId="1" xfId="1" applyFont="1" applyFill="1" applyBorder="1" applyAlignment="1">
      <alignment horizontal="center" vertical="center"/>
    </xf>
    <xf numFmtId="44" fontId="5" fillId="0" borderId="10" xfId="1" applyFont="1" applyFill="1" applyBorder="1" applyAlignment="1">
      <alignment vertical="center"/>
    </xf>
    <xf numFmtId="44" fontId="11" fillId="0" borderId="1" xfId="1" applyFont="1" applyFill="1" applyBorder="1" applyAlignment="1">
      <alignment horizontal="center" vertical="center" wrapText="1"/>
    </xf>
    <xf numFmtId="43" fontId="10" fillId="0" borderId="10" xfId="13" applyFont="1" applyFill="1" applyBorder="1"/>
    <xf numFmtId="0" fontId="10" fillId="0" borderId="1" xfId="1" applyNumberFormat="1" applyFont="1" applyFill="1" applyBorder="1" applyAlignment="1">
      <alignment horizontal="center" vertical="center"/>
    </xf>
    <xf numFmtId="44" fontId="10" fillId="0" borderId="10" xfId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0" fillId="0" borderId="1" xfId="0" applyNumberFormat="1" applyBorder="1"/>
    <xf numFmtId="44" fontId="0" fillId="0" borderId="0" xfId="0" applyNumberFormat="1" applyAlignment="1">
      <alignment vertical="center"/>
    </xf>
    <xf numFmtId="0" fontId="5" fillId="0" borderId="1" xfId="0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13" fillId="4" borderId="1" xfId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44" fontId="11" fillId="6" borderId="1" xfId="1" applyFont="1" applyFill="1" applyBorder="1" applyAlignment="1">
      <alignment horizontal="center" vertical="center" wrapText="1"/>
    </xf>
    <xf numFmtId="44" fontId="5" fillId="0" borderId="0" xfId="1" applyFont="1" applyFill="1" applyBorder="1" applyAlignment="1">
      <alignment vertical="center"/>
    </xf>
    <xf numFmtId="0" fontId="17" fillId="4" borderId="0" xfId="0" applyFont="1" applyFill="1" applyAlignment="1">
      <alignment horizontal="right" vertical="center"/>
    </xf>
    <xf numFmtId="44" fontId="17" fillId="4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2" fillId="2" borderId="0" xfId="3" applyFont="1" applyFill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2" fillId="2" borderId="13" xfId="3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2" fillId="2" borderId="14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10" xfId="3" applyFont="1" applyFill="1" applyBorder="1" applyAlignment="1">
      <alignment horizontal="center" vertical="center" wrapText="1"/>
    </xf>
    <xf numFmtId="0" fontId="2" fillId="2" borderId="15" xfId="3" applyFont="1" applyFill="1" applyBorder="1" applyAlignment="1">
      <alignment horizontal="center" vertical="center" wrapText="1"/>
    </xf>
    <xf numFmtId="0" fontId="2" fillId="2" borderId="5" xfId="3" applyFont="1" applyFill="1" applyBorder="1" applyAlignment="1">
      <alignment horizontal="center" vertical="center" wrapText="1"/>
    </xf>
    <xf numFmtId="44" fontId="2" fillId="2" borderId="6" xfId="1" applyFont="1" applyFill="1" applyBorder="1" applyAlignment="1">
      <alignment horizontal="center" vertical="center" wrapText="1"/>
    </xf>
    <xf numFmtId="44" fontId="2" fillId="2" borderId="11" xfId="1" applyFont="1" applyFill="1" applyBorder="1" applyAlignment="1">
      <alignment horizontal="center" vertical="center" wrapText="1"/>
    </xf>
    <xf numFmtId="44" fontId="2" fillId="2" borderId="16" xfId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</cellXfs>
  <cellStyles count="14">
    <cellStyle name="Comma" xfId="13" builtinId="3"/>
    <cellStyle name="Currency" xfId="1" builtinId="4"/>
    <cellStyle name="Millares 19" xfId="6" xr:uid="{70791CBD-24D6-4CFF-AEB9-AD065AFED3BF}"/>
    <cellStyle name="Millares 19 2" xfId="12" xr:uid="{30072A1A-CF60-480C-BBCB-48EAFCA51F69}"/>
    <cellStyle name="Millares 2" xfId="4" xr:uid="{642C0CE2-32A5-4683-B841-405C98A7F2AA}"/>
    <cellStyle name="Millares 2 2" xfId="9" xr:uid="{891916A8-C7B6-414C-A241-A9DC421E48A0}"/>
    <cellStyle name="Millares 3" xfId="11" xr:uid="{80804386-F8EA-4C42-BB6C-0655766FE3EF}"/>
    <cellStyle name="Moneda 2" xfId="2" xr:uid="{32B56F17-3690-441D-AC28-347FD47843C2}"/>
    <cellStyle name="Moneda 2 2" xfId="8" xr:uid="{75E40B2C-974D-464B-A32E-B803232C7EF1}"/>
    <cellStyle name="Moneda 3" xfId="7" xr:uid="{FD6CD5D9-A77E-44EB-9E22-FF794D473C1E}"/>
    <cellStyle name="Moneda 39" xfId="5" xr:uid="{CCFDA6D3-F947-4FFC-ACC0-105CEAA8FC65}"/>
    <cellStyle name="Moneda 39 2" xfId="10" xr:uid="{2883AFEC-2B52-4CDD-98DA-C880D5AABA21}"/>
    <cellStyle name="Normal" xfId="0" builtinId="0"/>
    <cellStyle name="Normal 2" xfId="3" xr:uid="{6187C0F9-709D-4F5B-85A1-850CA7B3F8F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99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133350</xdr:colOff>
      <xdr:row>0</xdr:row>
      <xdr:rowOff>145489</xdr:rowOff>
    </xdr:from>
    <xdr:to>
      <xdr:col>44</xdr:col>
      <xdr:colOff>635262</xdr:colOff>
      <xdr:row>0</xdr:row>
      <xdr:rowOff>886507</xdr:rowOff>
    </xdr:to>
    <xdr:pic>
      <xdr:nvPicPr>
        <xdr:cNvPr id="2" name="Picture 1" descr="Imagen que contiene Texto&#10;&#10;Descripción generada automáticamente">
          <a:extLst>
            <a:ext uri="{FF2B5EF4-FFF2-40B4-BE49-F238E27FC236}">
              <a16:creationId xmlns:a16="http://schemas.microsoft.com/office/drawing/2014/main" id="{E29D09E2-6ED0-481E-8644-6ACC8FF3D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47350" y="145489"/>
          <a:ext cx="1704117" cy="7473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352425</xdr:colOff>
      <xdr:row>0</xdr:row>
      <xdr:rowOff>247650</xdr:rowOff>
    </xdr:from>
    <xdr:to>
      <xdr:col>3</xdr:col>
      <xdr:colOff>76349</xdr:colOff>
      <xdr:row>0</xdr:row>
      <xdr:rowOff>886539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4A3B020C-CA0C-4CDE-8588-013920FBCA95}"/>
            </a:ext>
            <a:ext uri="{147F2762-F138-4A5C-976F-8EAC2B608ADB}">
              <a16:predDERef xmlns:a16="http://schemas.microsoft.com/office/drawing/2014/main" pred="{620B8777-C06E-0B40-9BFF-17F14C48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7650"/>
          <a:ext cx="1424940" cy="6452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BE00-2133-4DC6-94A7-67A12CB901F1}">
  <dimension ref="B1:AT16"/>
  <sheetViews>
    <sheetView tabSelected="1" zoomScale="85" zoomScaleNormal="85" workbookViewId="0">
      <pane xSplit="7" ySplit="4" topLeftCell="N5" activePane="bottomRight" state="frozen"/>
      <selection pane="topRight" activeCell="H1" sqref="H1"/>
      <selection pane="bottomLeft" activeCell="A8" sqref="A8"/>
      <selection pane="bottomRight" activeCell="AJ20" sqref="AJ20"/>
    </sheetView>
  </sheetViews>
  <sheetFormatPr defaultColWidth="10.85546875" defaultRowHeight="15" x14ac:dyDescent="0.25"/>
  <cols>
    <col min="1" max="2" width="10.85546875" style="1"/>
    <col min="3" max="3" width="12.85546875" style="1" customWidth="1"/>
    <col min="4" max="4" width="9.85546875" style="1" customWidth="1"/>
    <col min="5" max="6" width="10.85546875" style="1"/>
    <col min="7" max="7" width="36.5703125" style="1" bestFit="1" customWidth="1"/>
    <col min="8" max="8" width="18.28515625" style="1" bestFit="1" customWidth="1"/>
    <col min="9" max="9" width="56" style="3" customWidth="1"/>
    <col min="10" max="10" width="13.42578125" style="1" customWidth="1"/>
    <col min="11" max="11" width="11.85546875" style="1" customWidth="1"/>
    <col min="12" max="12" width="12" style="1" customWidth="1"/>
    <col min="13" max="13" width="14.85546875" style="1" customWidth="1"/>
    <col min="14" max="14" width="11.42578125" style="2" customWidth="1"/>
    <col min="15" max="15" width="6.5703125" style="2" customWidth="1"/>
    <col min="16" max="16" width="13.5703125" style="2" bestFit="1" customWidth="1"/>
    <col min="17" max="17" width="12.5703125" style="2" customWidth="1"/>
    <col min="18" max="18" width="11" style="1" customWidth="1"/>
    <col min="19" max="19" width="10.7109375" style="1" customWidth="1"/>
    <col min="20" max="20" width="12.5703125" style="1" customWidth="1"/>
    <col min="21" max="21" width="9.85546875" style="2" customWidth="1"/>
    <col min="22" max="22" width="10.140625" style="8" bestFit="1" customWidth="1"/>
    <col min="23" max="23" width="12.42578125" style="1" customWidth="1"/>
    <col min="24" max="25" width="9.140625" style="1" bestFit="1" customWidth="1"/>
    <col min="26" max="26" width="13.140625" style="2" customWidth="1"/>
    <col min="27" max="27" width="10.5703125" style="2" customWidth="1"/>
    <col min="28" max="28" width="11.140625" style="1" bestFit="1" customWidth="1"/>
    <col min="29" max="29" width="11.5703125" style="1" customWidth="1"/>
    <col min="30" max="30" width="12.5703125" style="1" customWidth="1"/>
    <col min="31" max="32" width="13.140625" style="1" hidden="1" customWidth="1"/>
    <col min="33" max="33" width="15.140625" style="1" hidden="1" customWidth="1"/>
    <col min="34" max="34" width="17.5703125" style="1" hidden="1" customWidth="1"/>
    <col min="35" max="35" width="12.5703125" style="1" customWidth="1"/>
    <col min="36" max="36" width="10.42578125" style="1" customWidth="1"/>
    <col min="37" max="37" width="10.5703125" style="1" customWidth="1"/>
    <col min="38" max="38" width="10.7109375" style="1" bestFit="1" customWidth="1"/>
    <col min="39" max="39" width="12.85546875" style="1" customWidth="1"/>
    <col min="40" max="40" width="13.140625" style="1" customWidth="1"/>
    <col min="41" max="41" width="13" style="1" customWidth="1"/>
    <col min="42" max="42" width="16.140625" style="1" customWidth="1"/>
    <col min="43" max="43" width="16.140625" style="1" hidden="1" customWidth="1"/>
    <col min="44" max="44" width="17.140625" style="1" customWidth="1"/>
    <col min="45" max="45" width="15.7109375" style="1" customWidth="1"/>
    <col min="46" max="46" width="11.85546875" style="1" bestFit="1" customWidth="1"/>
    <col min="47" max="16384" width="10.85546875" style="1"/>
  </cols>
  <sheetData>
    <row r="1" spans="2:46" ht="88.5" customHeight="1" thickBot="1" x14ac:dyDescent="0.3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</row>
    <row r="2" spans="2:46" x14ac:dyDescent="0.25">
      <c r="B2" s="87" t="s">
        <v>0</v>
      </c>
      <c r="C2" s="87" t="s">
        <v>1</v>
      </c>
      <c r="D2" s="87" t="s">
        <v>2</v>
      </c>
      <c r="E2" s="87" t="s">
        <v>3</v>
      </c>
      <c r="F2" s="87" t="s">
        <v>4</v>
      </c>
      <c r="G2" s="87" t="s">
        <v>5</v>
      </c>
      <c r="H2" s="87" t="s">
        <v>6</v>
      </c>
      <c r="I2" s="87" t="s">
        <v>7</v>
      </c>
      <c r="J2" s="87" t="s">
        <v>8</v>
      </c>
      <c r="K2" s="87" t="s">
        <v>9</v>
      </c>
      <c r="L2" s="87" t="s">
        <v>10</v>
      </c>
      <c r="M2" s="87" t="s">
        <v>11</v>
      </c>
      <c r="N2" s="87" t="s">
        <v>12</v>
      </c>
      <c r="O2" s="87" t="s">
        <v>13</v>
      </c>
      <c r="P2" s="87" t="s">
        <v>135</v>
      </c>
      <c r="Q2" s="87" t="s">
        <v>14</v>
      </c>
      <c r="R2" s="89" t="s">
        <v>15</v>
      </c>
      <c r="S2" s="91" t="s">
        <v>16</v>
      </c>
      <c r="T2" s="93" t="s">
        <v>17</v>
      </c>
      <c r="U2" s="96" t="s">
        <v>18</v>
      </c>
      <c r="V2" s="97" t="s">
        <v>19</v>
      </c>
      <c r="W2" s="100" t="s">
        <v>20</v>
      </c>
      <c r="X2" s="79" t="s">
        <v>21</v>
      </c>
      <c r="Y2" s="79" t="s">
        <v>22</v>
      </c>
      <c r="Z2" s="79" t="s">
        <v>14</v>
      </c>
      <c r="AA2" s="79" t="s">
        <v>23</v>
      </c>
      <c r="AB2" s="79" t="s">
        <v>24</v>
      </c>
      <c r="AC2" s="79" t="s">
        <v>25</v>
      </c>
      <c r="AD2" s="79" t="s">
        <v>12</v>
      </c>
      <c r="AE2" s="83" t="s">
        <v>37</v>
      </c>
      <c r="AF2" s="83" t="s">
        <v>26</v>
      </c>
      <c r="AG2" s="85" t="s">
        <v>27</v>
      </c>
      <c r="AH2" s="79" t="s">
        <v>28</v>
      </c>
      <c r="AI2" s="79" t="s">
        <v>38</v>
      </c>
      <c r="AJ2" s="79" t="s">
        <v>29</v>
      </c>
      <c r="AK2" s="79" t="s">
        <v>30</v>
      </c>
      <c r="AL2" s="79" t="s">
        <v>31</v>
      </c>
      <c r="AM2" s="79" t="s">
        <v>39</v>
      </c>
      <c r="AN2" s="79" t="s">
        <v>32</v>
      </c>
      <c r="AO2" s="81" t="s">
        <v>33</v>
      </c>
      <c r="AP2" s="77" t="s">
        <v>34</v>
      </c>
      <c r="AQ2" s="51"/>
      <c r="AR2" s="77" t="s">
        <v>35</v>
      </c>
      <c r="AS2" s="77" t="s">
        <v>36</v>
      </c>
    </row>
    <row r="3" spans="2:46" x14ac:dyDescent="0.25"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9"/>
      <c r="S3" s="91"/>
      <c r="T3" s="94"/>
      <c r="U3" s="89"/>
      <c r="V3" s="98"/>
      <c r="W3" s="101"/>
      <c r="X3" s="80"/>
      <c r="Y3" s="80"/>
      <c r="Z3" s="80"/>
      <c r="AA3" s="80"/>
      <c r="AB3" s="80"/>
      <c r="AC3" s="80"/>
      <c r="AD3" s="80"/>
      <c r="AE3" s="84"/>
      <c r="AF3" s="84"/>
      <c r="AG3" s="86"/>
      <c r="AH3" s="80"/>
      <c r="AI3" s="80"/>
      <c r="AJ3" s="80"/>
      <c r="AK3" s="80"/>
      <c r="AL3" s="80"/>
      <c r="AM3" s="80"/>
      <c r="AN3" s="80"/>
      <c r="AO3" s="81"/>
      <c r="AP3" s="77"/>
      <c r="AQ3" s="51"/>
      <c r="AR3" s="77"/>
      <c r="AS3" s="77"/>
    </row>
    <row r="4" spans="2:46" x14ac:dyDescent="0.25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90"/>
      <c r="S4" s="92"/>
      <c r="T4" s="95"/>
      <c r="U4" s="90"/>
      <c r="V4" s="99"/>
      <c r="W4" s="101"/>
      <c r="X4" s="80"/>
      <c r="Y4" s="80"/>
      <c r="Z4" s="80"/>
      <c r="AA4" s="80"/>
      <c r="AB4" s="80"/>
      <c r="AC4" s="80"/>
      <c r="AD4" s="80"/>
      <c r="AE4" s="84"/>
      <c r="AF4" s="84"/>
      <c r="AG4" s="86"/>
      <c r="AH4" s="80"/>
      <c r="AI4" s="80"/>
      <c r="AJ4" s="80"/>
      <c r="AK4" s="80"/>
      <c r="AL4" s="80"/>
      <c r="AM4" s="80"/>
      <c r="AN4" s="80"/>
      <c r="AO4" s="82"/>
      <c r="AP4" s="78"/>
      <c r="AQ4" s="52"/>
      <c r="AR4" s="78"/>
      <c r="AS4" s="78"/>
    </row>
    <row r="5" spans="2:46" x14ac:dyDescent="0.25">
      <c r="B5" s="56" t="s">
        <v>136</v>
      </c>
      <c r="C5" s="55" t="s">
        <v>142</v>
      </c>
      <c r="D5" s="56" t="s">
        <v>140</v>
      </c>
      <c r="E5" s="55">
        <v>46097</v>
      </c>
      <c r="F5" s="55">
        <v>46097</v>
      </c>
      <c r="G5" s="53" t="s">
        <v>162</v>
      </c>
      <c r="H5" s="58" t="s">
        <v>141</v>
      </c>
      <c r="I5" s="57" t="s">
        <v>163</v>
      </c>
      <c r="J5" s="56" t="s">
        <v>139</v>
      </c>
      <c r="K5" s="47">
        <v>25000</v>
      </c>
      <c r="L5" s="47">
        <v>60000</v>
      </c>
      <c r="M5" s="68">
        <v>85000</v>
      </c>
      <c r="N5" s="66"/>
      <c r="O5" s="60">
        <v>0</v>
      </c>
      <c r="P5" s="33"/>
      <c r="Q5" s="62">
        <v>15</v>
      </c>
      <c r="R5" s="67"/>
      <c r="S5" s="67"/>
      <c r="T5" s="6"/>
      <c r="U5" s="65"/>
      <c r="V5" s="10"/>
      <c r="W5" s="45">
        <v>24999.9</v>
      </c>
      <c r="X5" s="44">
        <v>833.33</v>
      </c>
      <c r="Y5" s="44">
        <v>874.41316899999993</v>
      </c>
      <c r="Z5" s="49">
        <v>15</v>
      </c>
      <c r="AA5" s="49">
        <v>15</v>
      </c>
      <c r="AB5" s="44">
        <v>12499.95</v>
      </c>
      <c r="AC5" s="44">
        <v>546.44590163934424</v>
      </c>
      <c r="AD5" s="42"/>
      <c r="AE5" s="41"/>
      <c r="AF5" s="41"/>
      <c r="AG5" s="44"/>
      <c r="AH5" s="41"/>
      <c r="AI5" s="43">
        <v>13046.395901639346</v>
      </c>
      <c r="AJ5" s="46"/>
      <c r="AK5" s="40"/>
      <c r="AL5" s="40">
        <v>342.87</v>
      </c>
      <c r="AM5" s="5">
        <v>342.87</v>
      </c>
      <c r="AN5" s="50">
        <v>12703.525901639345</v>
      </c>
      <c r="AO5" s="6"/>
      <c r="AP5" s="6">
        <f t="shared" ref="AP5" si="0">AN5</f>
        <v>12703.525901639345</v>
      </c>
      <c r="AQ5" s="6">
        <f t="shared" ref="AQ5" si="1">(L5/30)*Q5+R5+S5+V5-AO5-AJ5</f>
        <v>30000</v>
      </c>
      <c r="AR5" s="6">
        <f t="shared" ref="AR5" si="2">(K5/30)*Q5-AP5+AQ5</f>
        <v>29796.474098360653</v>
      </c>
      <c r="AS5" s="6">
        <f t="shared" ref="AS5" si="3">AP5+AR5</f>
        <v>42500</v>
      </c>
      <c r="AT5" s="64"/>
    </row>
    <row r="6" spans="2:46" x14ac:dyDescent="0.25">
      <c r="B6" s="56" t="s">
        <v>136</v>
      </c>
      <c r="C6" s="55" t="s">
        <v>137</v>
      </c>
      <c r="D6" s="56" t="s">
        <v>138</v>
      </c>
      <c r="E6" s="55">
        <v>46063</v>
      </c>
      <c r="F6" s="55">
        <v>46063</v>
      </c>
      <c r="G6" s="53" t="s">
        <v>159</v>
      </c>
      <c r="H6" s="56" t="s">
        <v>141</v>
      </c>
      <c r="I6" s="59" t="s">
        <v>158</v>
      </c>
      <c r="J6" s="56" t="s">
        <v>139</v>
      </c>
      <c r="K6" s="47">
        <v>15000</v>
      </c>
      <c r="L6" s="47">
        <v>10000</v>
      </c>
      <c r="M6" s="68">
        <v>25000</v>
      </c>
      <c r="N6" s="66"/>
      <c r="O6" s="60">
        <v>0</v>
      </c>
      <c r="P6" s="33"/>
      <c r="Q6" s="62">
        <v>15</v>
      </c>
      <c r="R6" s="63"/>
      <c r="S6" s="4"/>
      <c r="T6" s="6"/>
      <c r="U6" s="65"/>
      <c r="V6" s="10"/>
      <c r="W6" s="45">
        <v>15000</v>
      </c>
      <c r="X6" s="44">
        <v>500</v>
      </c>
      <c r="Y6" s="44">
        <v>524.65</v>
      </c>
      <c r="Z6" s="49">
        <v>15</v>
      </c>
      <c r="AA6" s="49">
        <v>15</v>
      </c>
      <c r="AB6" s="44">
        <v>7500</v>
      </c>
      <c r="AC6" s="44">
        <v>327.86885245901635</v>
      </c>
      <c r="AD6" s="42"/>
      <c r="AE6" s="41"/>
      <c r="AF6" s="41"/>
      <c r="AG6" s="44">
        <v>933.61</v>
      </c>
      <c r="AH6" s="41"/>
      <c r="AI6" s="43">
        <v>8761.4788524590167</v>
      </c>
      <c r="AJ6" s="7">
        <v>4890.84</v>
      </c>
      <c r="AK6" s="40">
        <v>1050.8</v>
      </c>
      <c r="AL6" s="40">
        <v>210.43</v>
      </c>
      <c r="AM6" s="5">
        <v>6152.0700000000006</v>
      </c>
      <c r="AN6" s="50">
        <v>2609.4088524590161</v>
      </c>
      <c r="AO6" s="6"/>
      <c r="AP6" s="6">
        <f t="shared" ref="AP6:AP15" si="4">AN6</f>
        <v>2609.4088524590161</v>
      </c>
      <c r="AQ6" s="6">
        <f t="shared" ref="AQ6:AQ15" si="5">(L6/30)*Q6+R6+S6+V6-AO6-AJ6</f>
        <v>109.15999999999985</v>
      </c>
      <c r="AR6" s="6">
        <f t="shared" ref="AR6:AR15" si="6">(K6/30)*Q6-AP6+AQ6</f>
        <v>4999.7511475409838</v>
      </c>
      <c r="AS6" s="6">
        <f t="shared" ref="AS6:AS15" si="7">AP6+AR6</f>
        <v>7609.16</v>
      </c>
      <c r="AT6" s="64"/>
    </row>
    <row r="7" spans="2:46" x14ac:dyDescent="0.25">
      <c r="B7" s="56" t="s">
        <v>136</v>
      </c>
      <c r="C7" s="55" t="s">
        <v>142</v>
      </c>
      <c r="D7" s="69" t="s">
        <v>140</v>
      </c>
      <c r="E7" s="55">
        <v>46007</v>
      </c>
      <c r="F7" s="55">
        <v>45544</v>
      </c>
      <c r="G7" s="53" t="s">
        <v>143</v>
      </c>
      <c r="H7" s="56" t="s">
        <v>141</v>
      </c>
      <c r="I7" s="59" t="s">
        <v>160</v>
      </c>
      <c r="J7" s="56" t="s">
        <v>139</v>
      </c>
      <c r="K7" s="47">
        <v>13200</v>
      </c>
      <c r="L7" s="47">
        <v>18300</v>
      </c>
      <c r="M7" s="68">
        <v>31500</v>
      </c>
      <c r="N7" s="66"/>
      <c r="O7" s="60">
        <v>0</v>
      </c>
      <c r="P7" s="33"/>
      <c r="Q7" s="62">
        <v>15</v>
      </c>
      <c r="R7" s="63"/>
      <c r="S7" s="63"/>
      <c r="T7" s="6"/>
      <c r="U7" s="65"/>
      <c r="V7" s="10"/>
      <c r="W7" s="45">
        <v>9451.2000000000007</v>
      </c>
      <c r="X7" s="44">
        <v>315.04000000000002</v>
      </c>
      <c r="Y7" s="44">
        <v>330.57147199999997</v>
      </c>
      <c r="Z7" s="49">
        <v>15</v>
      </c>
      <c r="AA7" s="49">
        <v>15</v>
      </c>
      <c r="AB7" s="44">
        <v>4725.6000000000004</v>
      </c>
      <c r="AC7" s="44">
        <v>206.58360655737704</v>
      </c>
      <c r="AD7" s="42"/>
      <c r="AE7" s="41"/>
      <c r="AF7" s="41"/>
      <c r="AG7" s="44">
        <v>2382.15</v>
      </c>
      <c r="AH7" s="41"/>
      <c r="AI7" s="43">
        <v>7314.3336065573767</v>
      </c>
      <c r="AJ7" s="46"/>
      <c r="AK7" s="40">
        <v>754.2</v>
      </c>
      <c r="AL7" s="40">
        <v>200.08</v>
      </c>
      <c r="AM7" s="5">
        <v>954.28000000000009</v>
      </c>
      <c r="AN7" s="50">
        <v>6360.053606557377</v>
      </c>
      <c r="AO7" s="6"/>
      <c r="AP7" s="6">
        <f t="shared" si="4"/>
        <v>6360.053606557377</v>
      </c>
      <c r="AQ7" s="6">
        <f t="shared" si="5"/>
        <v>9150</v>
      </c>
      <c r="AR7" s="6">
        <f t="shared" si="6"/>
        <v>9389.946393442624</v>
      </c>
      <c r="AS7" s="6">
        <f t="shared" si="7"/>
        <v>15750</v>
      </c>
      <c r="AT7" s="64"/>
    </row>
    <row r="8" spans="2:46" x14ac:dyDescent="0.25">
      <c r="B8" s="56" t="s">
        <v>136</v>
      </c>
      <c r="C8" s="55" t="s">
        <v>137</v>
      </c>
      <c r="D8" s="56" t="s">
        <v>138</v>
      </c>
      <c r="E8" s="55">
        <v>46027</v>
      </c>
      <c r="F8" s="55">
        <v>46027</v>
      </c>
      <c r="G8" s="54" t="s">
        <v>144</v>
      </c>
      <c r="H8" s="56" t="s">
        <v>141</v>
      </c>
      <c r="I8" s="57" t="s">
        <v>145</v>
      </c>
      <c r="J8" s="56" t="s">
        <v>139</v>
      </c>
      <c r="K8" s="47">
        <v>10000</v>
      </c>
      <c r="L8" s="47">
        <v>15000</v>
      </c>
      <c r="M8" s="68">
        <v>25000</v>
      </c>
      <c r="N8" s="66"/>
      <c r="O8" s="60">
        <v>0</v>
      </c>
      <c r="P8" s="33"/>
      <c r="Q8" s="62">
        <v>15</v>
      </c>
      <c r="R8" s="63"/>
      <c r="S8" s="4"/>
      <c r="T8" s="6"/>
      <c r="U8" s="65"/>
      <c r="V8" s="10"/>
      <c r="W8" s="45">
        <v>9999.9</v>
      </c>
      <c r="X8" s="44">
        <v>333.33</v>
      </c>
      <c r="Y8" s="44">
        <v>349.76316899999995</v>
      </c>
      <c r="Z8" s="49">
        <v>15</v>
      </c>
      <c r="AA8" s="49">
        <v>15</v>
      </c>
      <c r="AB8" s="44">
        <v>4999.95</v>
      </c>
      <c r="AC8" s="44">
        <v>218.57704918032783</v>
      </c>
      <c r="AD8" s="42"/>
      <c r="AE8" s="41"/>
      <c r="AF8" s="41"/>
      <c r="AG8" s="44">
        <v>372.41</v>
      </c>
      <c r="AH8" s="41"/>
      <c r="AI8" s="43">
        <v>5590.9370491803274</v>
      </c>
      <c r="AJ8" s="7">
        <v>3648.6</v>
      </c>
      <c r="AK8" s="40">
        <v>458.65</v>
      </c>
      <c r="AL8" s="40">
        <v>132.91999999999999</v>
      </c>
      <c r="AM8" s="5">
        <v>4240.17</v>
      </c>
      <c r="AN8" s="48">
        <v>1350.7670491803274</v>
      </c>
      <c r="AO8" s="6"/>
      <c r="AP8" s="6">
        <f t="shared" si="4"/>
        <v>1350.7670491803274</v>
      </c>
      <c r="AQ8" s="6">
        <f t="shared" si="5"/>
        <v>3851.4</v>
      </c>
      <c r="AR8" s="6">
        <f t="shared" si="6"/>
        <v>7500.6329508196723</v>
      </c>
      <c r="AS8" s="6">
        <f t="shared" si="7"/>
        <v>8851.4</v>
      </c>
      <c r="AT8" s="64"/>
    </row>
    <row r="9" spans="2:46" x14ac:dyDescent="0.25">
      <c r="B9" s="56" t="s">
        <v>136</v>
      </c>
      <c r="C9" s="70" t="s">
        <v>137</v>
      </c>
      <c r="D9" s="56" t="s">
        <v>138</v>
      </c>
      <c r="E9" s="55">
        <v>45341</v>
      </c>
      <c r="F9" s="55">
        <v>45341</v>
      </c>
      <c r="G9" s="54" t="s">
        <v>146</v>
      </c>
      <c r="H9" s="69" t="s">
        <v>141</v>
      </c>
      <c r="I9" s="57" t="s">
        <v>147</v>
      </c>
      <c r="J9" s="56" t="s">
        <v>139</v>
      </c>
      <c r="K9" s="71">
        <v>9000</v>
      </c>
      <c r="L9" s="71">
        <v>6000</v>
      </c>
      <c r="M9" s="68">
        <v>15000</v>
      </c>
      <c r="N9" s="66"/>
      <c r="O9" s="60">
        <v>0</v>
      </c>
      <c r="P9" s="61"/>
      <c r="Q9" s="62">
        <v>15</v>
      </c>
      <c r="R9" s="63"/>
      <c r="S9" s="4"/>
      <c r="T9" s="72"/>
      <c r="U9" s="65"/>
      <c r="V9" s="10"/>
      <c r="W9" s="45">
        <v>9451.2000000000007</v>
      </c>
      <c r="X9" s="44">
        <v>315.04000000000002</v>
      </c>
      <c r="Y9" s="44">
        <v>330.57147199999997</v>
      </c>
      <c r="Z9" s="49">
        <v>15</v>
      </c>
      <c r="AA9" s="49">
        <v>15</v>
      </c>
      <c r="AB9" s="44">
        <v>4725.6000000000004</v>
      </c>
      <c r="AC9" s="44">
        <v>206.58360655737704</v>
      </c>
      <c r="AD9" s="42"/>
      <c r="AE9" s="41"/>
      <c r="AF9" s="41"/>
      <c r="AG9" s="44">
        <v>0</v>
      </c>
      <c r="AH9" s="41"/>
      <c r="AI9" s="43">
        <v>4932.1836065573771</v>
      </c>
      <c r="AJ9" s="46"/>
      <c r="AK9" s="40">
        <v>0</v>
      </c>
      <c r="AL9" s="40">
        <v>0</v>
      </c>
      <c r="AM9" s="5">
        <v>0</v>
      </c>
      <c r="AN9" s="50">
        <v>4932.1836065573771</v>
      </c>
      <c r="AO9" s="6"/>
      <c r="AP9" s="6">
        <f t="shared" si="4"/>
        <v>4932.1836065573771</v>
      </c>
      <c r="AQ9" s="6">
        <f t="shared" si="5"/>
        <v>3000</v>
      </c>
      <c r="AR9" s="6">
        <f t="shared" si="6"/>
        <v>2567.8163934426229</v>
      </c>
      <c r="AS9" s="6">
        <f t="shared" si="7"/>
        <v>7500</v>
      </c>
      <c r="AT9" s="64"/>
    </row>
    <row r="10" spans="2:46" x14ac:dyDescent="0.25">
      <c r="B10" s="56" t="s">
        <v>136</v>
      </c>
      <c r="C10" s="55" t="s">
        <v>142</v>
      </c>
      <c r="D10" s="69" t="s">
        <v>140</v>
      </c>
      <c r="E10" s="55">
        <v>45943</v>
      </c>
      <c r="F10" s="55">
        <v>45943</v>
      </c>
      <c r="G10" s="53" t="s">
        <v>148</v>
      </c>
      <c r="H10" s="56" t="s">
        <v>141</v>
      </c>
      <c r="I10" s="57" t="s">
        <v>149</v>
      </c>
      <c r="J10" s="56" t="s">
        <v>139</v>
      </c>
      <c r="K10" s="47">
        <v>25000</v>
      </c>
      <c r="L10" s="47">
        <v>65000</v>
      </c>
      <c r="M10" s="68">
        <v>90000</v>
      </c>
      <c r="N10" s="66"/>
      <c r="O10" s="60">
        <v>0</v>
      </c>
      <c r="P10" s="61"/>
      <c r="Q10" s="62">
        <v>15</v>
      </c>
      <c r="R10" s="63"/>
      <c r="S10" s="4"/>
      <c r="T10" s="6"/>
      <c r="U10" s="65"/>
      <c r="V10" s="10"/>
      <c r="W10" s="45">
        <v>24999.9</v>
      </c>
      <c r="X10" s="44">
        <v>833.33</v>
      </c>
      <c r="Y10" s="44">
        <v>874.41316899999993</v>
      </c>
      <c r="Z10" s="49">
        <v>15</v>
      </c>
      <c r="AA10" s="49">
        <v>15</v>
      </c>
      <c r="AB10" s="44">
        <v>12499.95</v>
      </c>
      <c r="AC10" s="44">
        <v>546.44590163934424</v>
      </c>
      <c r="AD10" s="42"/>
      <c r="AE10" s="41"/>
      <c r="AF10" s="41"/>
      <c r="AG10" s="44">
        <v>2256.0100000000002</v>
      </c>
      <c r="AH10" s="41"/>
      <c r="AI10" s="43">
        <v>15302.405901639346</v>
      </c>
      <c r="AJ10" s="46"/>
      <c r="AK10" s="40">
        <v>2440.87</v>
      </c>
      <c r="AL10" s="40">
        <v>365.73</v>
      </c>
      <c r="AM10" s="5">
        <v>2806.6</v>
      </c>
      <c r="AN10" s="50">
        <v>12495.805901639345</v>
      </c>
      <c r="AO10" s="6"/>
      <c r="AP10" s="6">
        <f t="shared" si="4"/>
        <v>12495.805901639345</v>
      </c>
      <c r="AQ10" s="6">
        <f t="shared" si="5"/>
        <v>32499.999999999996</v>
      </c>
      <c r="AR10" s="6">
        <f t="shared" si="6"/>
        <v>32504.194098360651</v>
      </c>
      <c r="AS10" s="6">
        <f t="shared" si="7"/>
        <v>45000</v>
      </c>
      <c r="AT10" s="64"/>
    </row>
    <row r="11" spans="2:46" x14ac:dyDescent="0.25">
      <c r="B11" s="56" t="s">
        <v>136</v>
      </c>
      <c r="C11" s="55" t="s">
        <v>137</v>
      </c>
      <c r="D11" s="56" t="s">
        <v>138</v>
      </c>
      <c r="E11" s="55">
        <v>46056</v>
      </c>
      <c r="F11" s="55">
        <v>46056</v>
      </c>
      <c r="G11" s="54" t="s">
        <v>156</v>
      </c>
      <c r="H11" s="56" t="s">
        <v>141</v>
      </c>
      <c r="I11" s="57" t="s">
        <v>157</v>
      </c>
      <c r="J11" s="56" t="s">
        <v>139</v>
      </c>
      <c r="K11" s="47">
        <v>9000</v>
      </c>
      <c r="L11" s="47">
        <v>13000</v>
      </c>
      <c r="M11" s="68">
        <v>22000</v>
      </c>
      <c r="N11" s="66"/>
      <c r="O11" s="60">
        <v>0</v>
      </c>
      <c r="P11" s="61"/>
      <c r="Q11" s="62">
        <v>15</v>
      </c>
      <c r="R11" s="63"/>
      <c r="S11" s="4"/>
      <c r="T11" s="6"/>
      <c r="U11" s="65"/>
      <c r="V11" s="10"/>
      <c r="W11" s="45">
        <v>9451.2000000000007</v>
      </c>
      <c r="X11" s="44">
        <v>315.04000000000002</v>
      </c>
      <c r="Y11" s="44">
        <v>330.57147199999997</v>
      </c>
      <c r="Z11" s="49">
        <v>15</v>
      </c>
      <c r="AA11" s="49">
        <v>15</v>
      </c>
      <c r="AB11" s="44">
        <v>4725.6000000000004</v>
      </c>
      <c r="AC11" s="44">
        <v>206.58360655737704</v>
      </c>
      <c r="AD11" s="42"/>
      <c r="AE11" s="41"/>
      <c r="AF11" s="41"/>
      <c r="AG11" s="44">
        <v>0</v>
      </c>
      <c r="AH11" s="41"/>
      <c r="AI11" s="43">
        <v>4932.1836065573771</v>
      </c>
      <c r="AJ11" s="46"/>
      <c r="AK11" s="40">
        <v>0</v>
      </c>
      <c r="AL11" s="40">
        <v>0</v>
      </c>
      <c r="AM11" s="5">
        <v>0</v>
      </c>
      <c r="AN11" s="50">
        <v>4932.1836065573771</v>
      </c>
      <c r="AO11" s="6"/>
      <c r="AP11" s="6">
        <f t="shared" si="4"/>
        <v>4932.1836065573771</v>
      </c>
      <c r="AQ11" s="6">
        <f t="shared" si="5"/>
        <v>6500</v>
      </c>
      <c r="AR11" s="6">
        <f t="shared" si="6"/>
        <v>6067.8163934426229</v>
      </c>
      <c r="AS11" s="6">
        <f t="shared" si="7"/>
        <v>11000</v>
      </c>
      <c r="AT11" s="64"/>
    </row>
    <row r="12" spans="2:46" x14ac:dyDescent="0.25">
      <c r="B12" s="56" t="s">
        <v>136</v>
      </c>
      <c r="C12" s="55" t="s">
        <v>137</v>
      </c>
      <c r="D12" s="56" t="s">
        <v>138</v>
      </c>
      <c r="E12" s="55">
        <v>45628</v>
      </c>
      <c r="F12" s="55">
        <v>45628</v>
      </c>
      <c r="G12" s="53" t="s">
        <v>150</v>
      </c>
      <c r="H12" s="56" t="s">
        <v>141</v>
      </c>
      <c r="I12" s="57" t="s">
        <v>151</v>
      </c>
      <c r="J12" s="56" t="s">
        <v>139</v>
      </c>
      <c r="K12" s="47">
        <v>22500</v>
      </c>
      <c r="L12" s="47">
        <v>26850</v>
      </c>
      <c r="M12" s="68">
        <v>49350</v>
      </c>
      <c r="N12" s="66"/>
      <c r="O12" s="60">
        <v>0</v>
      </c>
      <c r="P12" s="33"/>
      <c r="Q12" s="62">
        <v>15</v>
      </c>
      <c r="R12" s="63"/>
      <c r="S12" s="4"/>
      <c r="T12" s="6"/>
      <c r="U12" s="65"/>
      <c r="V12" s="10"/>
      <c r="W12" s="45">
        <v>22500</v>
      </c>
      <c r="X12" s="44">
        <v>750</v>
      </c>
      <c r="Y12" s="44">
        <v>786.97499999999991</v>
      </c>
      <c r="Z12" s="49">
        <v>15</v>
      </c>
      <c r="AA12" s="49">
        <v>15</v>
      </c>
      <c r="AB12" s="44">
        <v>11250</v>
      </c>
      <c r="AC12" s="44">
        <v>491.80327868852453</v>
      </c>
      <c r="AD12" s="42"/>
      <c r="AE12" s="41"/>
      <c r="AF12" s="41"/>
      <c r="AG12" s="44">
        <v>1900.41</v>
      </c>
      <c r="AH12" s="41"/>
      <c r="AI12" s="43">
        <v>13642.213278688525</v>
      </c>
      <c r="AJ12" s="46"/>
      <c r="AK12" s="40">
        <v>2086.7600000000002</v>
      </c>
      <c r="AL12" s="40">
        <v>327.35000000000002</v>
      </c>
      <c r="AM12" s="5">
        <v>2414.11</v>
      </c>
      <c r="AN12" s="48">
        <v>11228.103278688524</v>
      </c>
      <c r="AO12" s="6"/>
      <c r="AP12" s="6">
        <f t="shared" si="4"/>
        <v>11228.103278688524</v>
      </c>
      <c r="AQ12" s="6">
        <f t="shared" si="5"/>
        <v>13425</v>
      </c>
      <c r="AR12" s="6">
        <f t="shared" si="6"/>
        <v>13446.896721311476</v>
      </c>
      <c r="AS12" s="6">
        <f t="shared" si="7"/>
        <v>24675</v>
      </c>
      <c r="AT12" s="64"/>
    </row>
    <row r="13" spans="2:46" x14ac:dyDescent="0.25">
      <c r="B13" s="56" t="s">
        <v>136</v>
      </c>
      <c r="C13" s="55" t="s">
        <v>137</v>
      </c>
      <c r="D13" s="56" t="s">
        <v>138</v>
      </c>
      <c r="E13" s="55">
        <v>46027</v>
      </c>
      <c r="F13" s="55">
        <v>46027</v>
      </c>
      <c r="G13" s="54" t="s">
        <v>152</v>
      </c>
      <c r="H13" s="56" t="s">
        <v>141</v>
      </c>
      <c r="I13" s="57" t="s">
        <v>153</v>
      </c>
      <c r="J13" s="56" t="s">
        <v>139</v>
      </c>
      <c r="K13" s="47">
        <v>11200</v>
      </c>
      <c r="L13" s="47">
        <v>16800</v>
      </c>
      <c r="M13" s="68">
        <v>28000</v>
      </c>
      <c r="N13" s="66"/>
      <c r="O13" s="60">
        <v>0</v>
      </c>
      <c r="P13" s="61"/>
      <c r="Q13" s="62">
        <v>15</v>
      </c>
      <c r="R13" s="63"/>
      <c r="S13" s="4"/>
      <c r="T13" s="6"/>
      <c r="U13" s="65"/>
      <c r="V13" s="10"/>
      <c r="W13" s="45">
        <v>11199.9</v>
      </c>
      <c r="X13" s="44">
        <v>373.33</v>
      </c>
      <c r="Y13" s="44">
        <v>391.73516899999993</v>
      </c>
      <c r="Z13" s="49">
        <v>15</v>
      </c>
      <c r="AA13" s="49">
        <v>15</v>
      </c>
      <c r="AB13" s="44">
        <v>5599.95</v>
      </c>
      <c r="AC13" s="44">
        <v>244.80655737704916</v>
      </c>
      <c r="AD13" s="42"/>
      <c r="AE13" s="41"/>
      <c r="AF13" s="41"/>
      <c r="AG13" s="44">
        <v>301.08999999999997</v>
      </c>
      <c r="AH13" s="41"/>
      <c r="AI13" s="43">
        <v>6145.8465573770491</v>
      </c>
      <c r="AJ13" s="7"/>
      <c r="AK13" s="40">
        <v>546.65</v>
      </c>
      <c r="AL13" s="40">
        <v>151.4</v>
      </c>
      <c r="AM13" s="5">
        <v>698.05</v>
      </c>
      <c r="AN13" s="50">
        <v>5447.7965573770489</v>
      </c>
      <c r="AO13" s="6"/>
      <c r="AP13" s="6">
        <f t="shared" si="4"/>
        <v>5447.7965573770489</v>
      </c>
      <c r="AQ13" s="6">
        <f t="shared" si="5"/>
        <v>8400</v>
      </c>
      <c r="AR13" s="6">
        <f t="shared" si="6"/>
        <v>8552.2034426229511</v>
      </c>
      <c r="AS13" s="6">
        <f t="shared" si="7"/>
        <v>14000</v>
      </c>
      <c r="AT13" s="64"/>
    </row>
    <row r="14" spans="2:46" x14ac:dyDescent="0.25">
      <c r="B14" s="56" t="s">
        <v>136</v>
      </c>
      <c r="C14" s="55" t="s">
        <v>137</v>
      </c>
      <c r="D14" s="56" t="s">
        <v>138</v>
      </c>
      <c r="E14" s="55">
        <v>44480</v>
      </c>
      <c r="F14" s="55">
        <v>44480</v>
      </c>
      <c r="G14" s="53" t="s">
        <v>154</v>
      </c>
      <c r="H14" s="56" t="s">
        <v>141</v>
      </c>
      <c r="I14" s="57" t="s">
        <v>155</v>
      </c>
      <c r="J14" s="56" t="s">
        <v>139</v>
      </c>
      <c r="K14" s="47">
        <v>26000</v>
      </c>
      <c r="L14" s="47">
        <v>6000</v>
      </c>
      <c r="M14" s="68">
        <v>32000</v>
      </c>
      <c r="N14" s="66"/>
      <c r="O14" s="60">
        <v>0</v>
      </c>
      <c r="P14" s="60"/>
      <c r="Q14" s="62">
        <v>15</v>
      </c>
      <c r="R14" s="63"/>
      <c r="S14" s="4"/>
      <c r="T14" s="6"/>
      <c r="U14" s="65"/>
      <c r="V14" s="10"/>
      <c r="W14" s="45">
        <v>25999.8</v>
      </c>
      <c r="X14" s="44">
        <v>866.66</v>
      </c>
      <c r="Y14" s="44">
        <v>909.38633799999991</v>
      </c>
      <c r="Z14" s="49">
        <v>15</v>
      </c>
      <c r="AA14" s="49">
        <v>15</v>
      </c>
      <c r="AB14" s="44">
        <v>12999.9</v>
      </c>
      <c r="AC14" s="44">
        <v>568.30163934426218</v>
      </c>
      <c r="AD14" s="42"/>
      <c r="AE14" s="41"/>
      <c r="AF14" s="41"/>
      <c r="AG14" s="44">
        <v>2400</v>
      </c>
      <c r="AH14" s="41"/>
      <c r="AI14" s="43">
        <v>15968.201639344261</v>
      </c>
      <c r="AJ14" s="7"/>
      <c r="AK14" s="40">
        <v>2596.5</v>
      </c>
      <c r="AL14" s="40">
        <v>383.37</v>
      </c>
      <c r="AM14" s="5">
        <v>2979.87</v>
      </c>
      <c r="AN14" s="50">
        <v>12988.331639344262</v>
      </c>
      <c r="AO14" s="6">
        <v>2000</v>
      </c>
      <c r="AP14" s="6">
        <f t="shared" si="4"/>
        <v>12988.331639344262</v>
      </c>
      <c r="AQ14" s="6">
        <f t="shared" si="5"/>
        <v>1000</v>
      </c>
      <c r="AR14" s="6">
        <f t="shared" si="6"/>
        <v>1011.6683606557381</v>
      </c>
      <c r="AS14" s="6">
        <f t="shared" si="7"/>
        <v>14000</v>
      </c>
      <c r="AT14" s="64"/>
    </row>
    <row r="15" spans="2:46" x14ac:dyDescent="0.25">
      <c r="B15" s="56" t="s">
        <v>136</v>
      </c>
      <c r="C15" s="55" t="s">
        <v>137</v>
      </c>
      <c r="D15" s="56" t="s">
        <v>138</v>
      </c>
      <c r="E15" s="55">
        <v>46076</v>
      </c>
      <c r="F15" s="55">
        <v>46076</v>
      </c>
      <c r="G15" s="54" t="s">
        <v>161</v>
      </c>
      <c r="H15" s="56" t="s">
        <v>141</v>
      </c>
      <c r="I15" s="57" t="s">
        <v>155</v>
      </c>
      <c r="J15" s="56" t="s">
        <v>139</v>
      </c>
      <c r="K15" s="47">
        <v>12000</v>
      </c>
      <c r="L15" s="47">
        <v>18000</v>
      </c>
      <c r="M15" s="68">
        <v>30000</v>
      </c>
      <c r="N15" s="66"/>
      <c r="O15" s="60">
        <v>0</v>
      </c>
      <c r="P15" s="60"/>
      <c r="Q15" s="62">
        <v>15</v>
      </c>
      <c r="R15" s="63"/>
      <c r="S15" s="4"/>
      <c r="T15" s="6"/>
      <c r="U15" s="65"/>
      <c r="V15" s="10"/>
      <c r="W15" s="45">
        <v>12000</v>
      </c>
      <c r="X15" s="44">
        <v>400</v>
      </c>
      <c r="Y15" s="44">
        <v>419.71999999999997</v>
      </c>
      <c r="Z15" s="49">
        <v>15</v>
      </c>
      <c r="AA15" s="49">
        <v>15</v>
      </c>
      <c r="AB15" s="44">
        <v>6000</v>
      </c>
      <c r="AC15" s="44">
        <v>262.29508196721309</v>
      </c>
      <c r="AD15" s="42"/>
      <c r="AE15" s="41"/>
      <c r="AF15" s="41"/>
      <c r="AG15" s="44">
        <v>150</v>
      </c>
      <c r="AH15" s="41"/>
      <c r="AI15" s="43">
        <v>6412.2950819672133</v>
      </c>
      <c r="AJ15" s="7"/>
      <c r="AK15" s="40">
        <v>310.83</v>
      </c>
      <c r="AL15" s="40">
        <v>163.83000000000001</v>
      </c>
      <c r="AM15" s="5">
        <v>474.65999999999997</v>
      </c>
      <c r="AN15" s="50">
        <v>5937.6350819672134</v>
      </c>
      <c r="AO15" s="6"/>
      <c r="AP15" s="6">
        <f t="shared" si="4"/>
        <v>5937.6350819672134</v>
      </c>
      <c r="AQ15" s="6">
        <f t="shared" si="5"/>
        <v>9000</v>
      </c>
      <c r="AR15" s="6">
        <f t="shared" si="6"/>
        <v>9062.3649180327866</v>
      </c>
      <c r="AS15" s="6">
        <f t="shared" si="7"/>
        <v>15000</v>
      </c>
      <c r="AT15" s="64"/>
    </row>
    <row r="16" spans="2:46" x14ac:dyDescent="0.25">
      <c r="AR16" s="73" t="s">
        <v>19</v>
      </c>
      <c r="AS16" s="74">
        <f>SUM(AS5:AS15)</f>
        <v>205885.56</v>
      </c>
    </row>
  </sheetData>
  <autoFilter ref="B4:AT15" xr:uid="{7C0ABE00-2133-4DC6-94A7-67A12CB901F1}">
    <sortState xmlns:xlrd2="http://schemas.microsoft.com/office/spreadsheetml/2017/richdata2" ref="B6:AT15">
      <sortCondition ref="G4:G15"/>
    </sortState>
  </autoFilter>
  <mergeCells count="44">
    <mergeCell ref="AR2:AR4"/>
    <mergeCell ref="L2:L4"/>
    <mergeCell ref="Q2:Q4"/>
    <mergeCell ref="M2:M4"/>
    <mergeCell ref="N2:N4"/>
    <mergeCell ref="O2:O4"/>
    <mergeCell ref="R2:R4"/>
    <mergeCell ref="S2:S4"/>
    <mergeCell ref="T2:T4"/>
    <mergeCell ref="U2:U4"/>
    <mergeCell ref="P2:P4"/>
    <mergeCell ref="V2:V4"/>
    <mergeCell ref="W2:W4"/>
    <mergeCell ref="X2:X4"/>
    <mergeCell ref="Y2:Y4"/>
    <mergeCell ref="Z2:Z4"/>
    <mergeCell ref="AD2:AD4"/>
    <mergeCell ref="AE2:AE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B1:AS1"/>
    <mergeCell ref="AP2:AP4"/>
    <mergeCell ref="AS2:AS4"/>
    <mergeCell ref="AK2:AK4"/>
    <mergeCell ref="AL2:AL4"/>
    <mergeCell ref="AM2:AM4"/>
    <mergeCell ref="AN2:AN4"/>
    <mergeCell ref="AO2:AO4"/>
    <mergeCell ref="AF2:AF4"/>
    <mergeCell ref="AG2:AG4"/>
    <mergeCell ref="AH2:AH4"/>
    <mergeCell ref="AI2:AI4"/>
    <mergeCell ref="AJ2:AJ4"/>
    <mergeCell ref="AA2:AA4"/>
    <mergeCell ref="AB2:AB4"/>
    <mergeCell ref="AC2:AC4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B8C0-F7CB-4247-9193-90B6747A20D8}">
  <dimension ref="A1:C95"/>
  <sheetViews>
    <sheetView topLeftCell="A7" workbookViewId="0">
      <selection activeCell="E10" sqref="E10"/>
    </sheetView>
  </sheetViews>
  <sheetFormatPr defaultColWidth="11.42578125" defaultRowHeight="15" x14ac:dyDescent="0.25"/>
  <cols>
    <col min="1" max="1" width="29" bestFit="1" customWidth="1"/>
    <col min="2" max="2" width="41.85546875" bestFit="1" customWidth="1"/>
    <col min="3" max="3" width="11.140625" bestFit="1" customWidth="1"/>
  </cols>
  <sheetData>
    <row r="1" spans="1:3" x14ac:dyDescent="0.25">
      <c r="A1" s="16" t="s">
        <v>40</v>
      </c>
      <c r="B1" s="34" t="s">
        <v>40</v>
      </c>
      <c r="C1" t="b">
        <f>EXACT(A1,B1)</f>
        <v>1</v>
      </c>
    </row>
    <row r="2" spans="1:3" x14ac:dyDescent="0.25">
      <c r="A2" s="12" t="s">
        <v>41</v>
      </c>
      <c r="B2" s="34" t="s">
        <v>41</v>
      </c>
      <c r="C2" t="b">
        <f t="shared" ref="C2:C65" si="0">EXACT(A2,B2)</f>
        <v>1</v>
      </c>
    </row>
    <row r="3" spans="1:3" x14ac:dyDescent="0.25">
      <c r="A3" s="9" t="s">
        <v>42</v>
      </c>
      <c r="B3" s="35" t="s">
        <v>42</v>
      </c>
      <c r="C3" t="b">
        <f t="shared" si="0"/>
        <v>1</v>
      </c>
    </row>
    <row r="4" spans="1:3" x14ac:dyDescent="0.25">
      <c r="A4" s="15" t="s">
        <v>43</v>
      </c>
      <c r="B4" s="36" t="s">
        <v>43</v>
      </c>
      <c r="C4" t="b">
        <f t="shared" si="0"/>
        <v>1</v>
      </c>
    </row>
    <row r="5" spans="1:3" x14ac:dyDescent="0.25">
      <c r="A5" s="17" t="s">
        <v>44</v>
      </c>
      <c r="B5" s="34" t="s">
        <v>44</v>
      </c>
      <c r="C5" t="b">
        <f t="shared" si="0"/>
        <v>1</v>
      </c>
    </row>
    <row r="6" spans="1:3" x14ac:dyDescent="0.25">
      <c r="A6" s="17" t="s">
        <v>45</v>
      </c>
      <c r="B6" s="34" t="s">
        <v>45</v>
      </c>
      <c r="C6" t="b">
        <f t="shared" si="0"/>
        <v>1</v>
      </c>
    </row>
    <row r="7" spans="1:3" x14ac:dyDescent="0.25">
      <c r="A7" s="18" t="s">
        <v>46</v>
      </c>
      <c r="B7" s="34" t="s">
        <v>46</v>
      </c>
      <c r="C7" t="b">
        <f t="shared" si="0"/>
        <v>1</v>
      </c>
    </row>
    <row r="8" spans="1:3" x14ac:dyDescent="0.25">
      <c r="A8" s="19" t="s">
        <v>47</v>
      </c>
      <c r="B8" s="36" t="s">
        <v>47</v>
      </c>
      <c r="C8" t="b">
        <f t="shared" si="0"/>
        <v>1</v>
      </c>
    </row>
    <row r="9" spans="1:3" x14ac:dyDescent="0.25">
      <c r="A9" s="20" t="s">
        <v>48</v>
      </c>
      <c r="B9" s="34" t="s">
        <v>48</v>
      </c>
      <c r="C9" t="b">
        <f t="shared" si="0"/>
        <v>1</v>
      </c>
    </row>
    <row r="10" spans="1:3" x14ac:dyDescent="0.25">
      <c r="A10" s="21" t="s">
        <v>49</v>
      </c>
      <c r="B10" s="35" t="s">
        <v>49</v>
      </c>
      <c r="C10" t="b">
        <f t="shared" si="0"/>
        <v>1</v>
      </c>
    </row>
    <row r="11" spans="1:3" x14ac:dyDescent="0.25">
      <c r="A11" s="11" t="s">
        <v>50</v>
      </c>
      <c r="B11" s="34" t="s">
        <v>50</v>
      </c>
      <c r="C11" t="b">
        <f t="shared" si="0"/>
        <v>1</v>
      </c>
    </row>
    <row r="12" spans="1:3" x14ac:dyDescent="0.25">
      <c r="A12" s="20" t="s">
        <v>51</v>
      </c>
      <c r="B12" s="34" t="s">
        <v>51</v>
      </c>
      <c r="C12" t="b">
        <f t="shared" si="0"/>
        <v>1</v>
      </c>
    </row>
    <row r="13" spans="1:3" x14ac:dyDescent="0.25">
      <c r="A13" s="22" t="s">
        <v>52</v>
      </c>
      <c r="B13" s="34" t="s">
        <v>52</v>
      </c>
      <c r="C13" t="b">
        <f t="shared" si="0"/>
        <v>1</v>
      </c>
    </row>
    <row r="14" spans="1:3" x14ac:dyDescent="0.25">
      <c r="A14" s="23" t="s">
        <v>53</v>
      </c>
      <c r="B14" s="34" t="s">
        <v>53</v>
      </c>
      <c r="C14" t="b">
        <f t="shared" si="0"/>
        <v>1</v>
      </c>
    </row>
    <row r="15" spans="1:3" x14ac:dyDescent="0.25">
      <c r="A15" s="17" t="s">
        <v>54</v>
      </c>
      <c r="B15" s="34" t="s">
        <v>54</v>
      </c>
      <c r="C15" t="b">
        <f t="shared" si="0"/>
        <v>1</v>
      </c>
    </row>
    <row r="16" spans="1:3" x14ac:dyDescent="0.25">
      <c r="A16" s="11" t="s">
        <v>55</v>
      </c>
      <c r="B16" s="34" t="s">
        <v>55</v>
      </c>
      <c r="C16" t="b">
        <f t="shared" si="0"/>
        <v>1</v>
      </c>
    </row>
    <row r="17" spans="1:3" x14ac:dyDescent="0.25">
      <c r="A17" s="24" t="s">
        <v>56</v>
      </c>
      <c r="B17" s="34" t="s">
        <v>56</v>
      </c>
      <c r="C17" t="b">
        <f t="shared" si="0"/>
        <v>1</v>
      </c>
    </row>
    <row r="18" spans="1:3" x14ac:dyDescent="0.25">
      <c r="A18" s="9" t="s">
        <v>57</v>
      </c>
      <c r="B18" s="35" t="s">
        <v>57</v>
      </c>
      <c r="C18" t="b">
        <f t="shared" si="0"/>
        <v>1</v>
      </c>
    </row>
    <row r="19" spans="1:3" x14ac:dyDescent="0.25">
      <c r="A19" s="17" t="s">
        <v>58</v>
      </c>
      <c r="B19" s="34" t="s">
        <v>58</v>
      </c>
      <c r="C19" t="b">
        <f t="shared" si="0"/>
        <v>1</v>
      </c>
    </row>
    <row r="20" spans="1:3" x14ac:dyDescent="0.25">
      <c r="A20" s="25" t="s">
        <v>59</v>
      </c>
      <c r="B20" s="35" t="s">
        <v>59</v>
      </c>
      <c r="C20" t="b">
        <f t="shared" si="0"/>
        <v>1</v>
      </c>
    </row>
    <row r="21" spans="1:3" x14ac:dyDescent="0.25">
      <c r="A21" s="18" t="s">
        <v>60</v>
      </c>
      <c r="B21" s="34" t="s">
        <v>60</v>
      </c>
      <c r="C21" t="b">
        <f t="shared" si="0"/>
        <v>1</v>
      </c>
    </row>
    <row r="22" spans="1:3" x14ac:dyDescent="0.25">
      <c r="A22" s="12" t="s">
        <v>61</v>
      </c>
      <c r="B22" s="34" t="s">
        <v>61</v>
      </c>
      <c r="C22" t="b">
        <f t="shared" si="0"/>
        <v>1</v>
      </c>
    </row>
    <row r="23" spans="1:3" x14ac:dyDescent="0.25">
      <c r="A23" s="17" t="s">
        <v>62</v>
      </c>
      <c r="B23" s="34" t="s">
        <v>62</v>
      </c>
      <c r="C23" t="b">
        <f t="shared" si="0"/>
        <v>1</v>
      </c>
    </row>
    <row r="24" spans="1:3" x14ac:dyDescent="0.25">
      <c r="A24" s="23" t="s">
        <v>63</v>
      </c>
      <c r="B24" s="34" t="s">
        <v>63</v>
      </c>
      <c r="C24" t="b">
        <f t="shared" si="0"/>
        <v>1</v>
      </c>
    </row>
    <row r="25" spans="1:3" ht="24" x14ac:dyDescent="0.25">
      <c r="A25" s="17" t="s">
        <v>64</v>
      </c>
      <c r="B25" s="34" t="s">
        <v>64</v>
      </c>
      <c r="C25" t="b">
        <f t="shared" si="0"/>
        <v>1</v>
      </c>
    </row>
    <row r="26" spans="1:3" x14ac:dyDescent="0.25">
      <c r="A26" s="17" t="s">
        <v>65</v>
      </c>
      <c r="B26" s="34" t="s">
        <v>65</v>
      </c>
      <c r="C26" t="b">
        <f t="shared" si="0"/>
        <v>1</v>
      </c>
    </row>
    <row r="27" spans="1:3" x14ac:dyDescent="0.25">
      <c r="A27" s="26" t="s">
        <v>66</v>
      </c>
      <c r="B27" s="34" t="s">
        <v>66</v>
      </c>
      <c r="C27" t="b">
        <f t="shared" si="0"/>
        <v>1</v>
      </c>
    </row>
    <row r="28" spans="1:3" x14ac:dyDescent="0.25">
      <c r="A28" s="18" t="s">
        <v>67</v>
      </c>
      <c r="B28" s="34" t="s">
        <v>67</v>
      </c>
      <c r="C28" t="b">
        <f t="shared" si="0"/>
        <v>1</v>
      </c>
    </row>
    <row r="29" spans="1:3" x14ac:dyDescent="0.25">
      <c r="A29" s="17" t="s">
        <v>68</v>
      </c>
      <c r="B29" s="34" t="s">
        <v>68</v>
      </c>
      <c r="C29" t="b">
        <f t="shared" si="0"/>
        <v>1</v>
      </c>
    </row>
    <row r="30" spans="1:3" x14ac:dyDescent="0.25">
      <c r="A30" s="18" t="s">
        <v>69</v>
      </c>
      <c r="B30" s="34" t="s">
        <v>69</v>
      </c>
      <c r="C30" t="b">
        <f t="shared" si="0"/>
        <v>1</v>
      </c>
    </row>
    <row r="31" spans="1:3" x14ac:dyDescent="0.25">
      <c r="A31" s="12" t="s">
        <v>70</v>
      </c>
      <c r="B31" s="34" t="s">
        <v>70</v>
      </c>
      <c r="C31" t="b">
        <f t="shared" si="0"/>
        <v>1</v>
      </c>
    </row>
    <row r="32" spans="1:3" x14ac:dyDescent="0.25">
      <c r="A32" s="22" t="s">
        <v>71</v>
      </c>
      <c r="B32" s="34" t="s">
        <v>71</v>
      </c>
      <c r="C32" t="b">
        <f t="shared" si="0"/>
        <v>1</v>
      </c>
    </row>
    <row r="33" spans="1:3" x14ac:dyDescent="0.25">
      <c r="A33" s="25" t="s">
        <v>72</v>
      </c>
      <c r="B33" s="34" t="s">
        <v>72</v>
      </c>
      <c r="C33" t="b">
        <f t="shared" si="0"/>
        <v>1</v>
      </c>
    </row>
    <row r="34" spans="1:3" x14ac:dyDescent="0.25">
      <c r="A34" s="25" t="s">
        <v>73</v>
      </c>
      <c r="B34" s="34" t="s">
        <v>73</v>
      </c>
      <c r="C34" t="b">
        <f t="shared" si="0"/>
        <v>1</v>
      </c>
    </row>
    <row r="35" spans="1:3" x14ac:dyDescent="0.25">
      <c r="A35" s="20" t="s">
        <v>74</v>
      </c>
      <c r="B35" s="33" t="s">
        <v>74</v>
      </c>
      <c r="C35" t="b">
        <f t="shared" si="0"/>
        <v>1</v>
      </c>
    </row>
    <row r="36" spans="1:3" x14ac:dyDescent="0.25">
      <c r="A36" s="18" t="s">
        <v>75</v>
      </c>
      <c r="B36" s="34" t="s">
        <v>75</v>
      </c>
      <c r="C36" t="b">
        <f t="shared" si="0"/>
        <v>1</v>
      </c>
    </row>
    <row r="37" spans="1:3" x14ac:dyDescent="0.25">
      <c r="A37" s="27" t="s">
        <v>76</v>
      </c>
      <c r="B37" s="36" t="s">
        <v>76</v>
      </c>
      <c r="C37" t="b">
        <f t="shared" si="0"/>
        <v>1</v>
      </c>
    </row>
    <row r="38" spans="1:3" x14ac:dyDescent="0.25">
      <c r="A38" s="17" t="s">
        <v>77</v>
      </c>
      <c r="B38" s="34" t="s">
        <v>77</v>
      </c>
      <c r="C38" t="b">
        <f t="shared" si="0"/>
        <v>1</v>
      </c>
    </row>
    <row r="39" spans="1:3" x14ac:dyDescent="0.25">
      <c r="A39" s="23" t="s">
        <v>78</v>
      </c>
      <c r="B39" s="34" t="s">
        <v>78</v>
      </c>
      <c r="C39" t="b">
        <f t="shared" si="0"/>
        <v>1</v>
      </c>
    </row>
    <row r="40" spans="1:3" x14ac:dyDescent="0.25">
      <c r="A40" s="17" t="s">
        <v>79</v>
      </c>
      <c r="B40" s="34" t="s">
        <v>79</v>
      </c>
      <c r="C40" t="b">
        <f t="shared" si="0"/>
        <v>1</v>
      </c>
    </row>
    <row r="41" spans="1:3" x14ac:dyDescent="0.25">
      <c r="A41" s="21" t="s">
        <v>80</v>
      </c>
      <c r="B41" s="35" t="s">
        <v>80</v>
      </c>
      <c r="C41" t="b">
        <f t="shared" si="0"/>
        <v>1</v>
      </c>
    </row>
    <row r="42" spans="1:3" x14ac:dyDescent="0.25">
      <c r="A42" s="23" t="s">
        <v>81</v>
      </c>
      <c r="B42" s="34" t="s">
        <v>81</v>
      </c>
      <c r="C42" t="b">
        <f t="shared" si="0"/>
        <v>1</v>
      </c>
    </row>
    <row r="43" spans="1:3" x14ac:dyDescent="0.25">
      <c r="A43" s="19" t="s">
        <v>82</v>
      </c>
      <c r="B43" s="36" t="s">
        <v>82</v>
      </c>
      <c r="C43" t="b">
        <f t="shared" si="0"/>
        <v>1</v>
      </c>
    </row>
    <row r="44" spans="1:3" x14ac:dyDescent="0.25">
      <c r="A44" s="17" t="s">
        <v>83</v>
      </c>
      <c r="B44" s="34" t="s">
        <v>83</v>
      </c>
      <c r="C44" t="b">
        <f t="shared" si="0"/>
        <v>1</v>
      </c>
    </row>
    <row r="45" spans="1:3" x14ac:dyDescent="0.25">
      <c r="A45" s="22" t="s">
        <v>84</v>
      </c>
      <c r="B45" s="34" t="s">
        <v>84</v>
      </c>
      <c r="C45" t="b">
        <f t="shared" si="0"/>
        <v>1</v>
      </c>
    </row>
    <row r="46" spans="1:3" x14ac:dyDescent="0.25">
      <c r="A46" s="23" t="s">
        <v>85</v>
      </c>
      <c r="B46" s="34" t="s">
        <v>85</v>
      </c>
      <c r="C46" t="b">
        <f t="shared" si="0"/>
        <v>1</v>
      </c>
    </row>
    <row r="47" spans="1:3" x14ac:dyDescent="0.25">
      <c r="A47" s="23" t="s">
        <v>86</v>
      </c>
      <c r="B47" s="34" t="s">
        <v>86</v>
      </c>
      <c r="C47" t="b">
        <f t="shared" si="0"/>
        <v>1</v>
      </c>
    </row>
    <row r="48" spans="1:3" x14ac:dyDescent="0.25">
      <c r="A48" s="17" t="s">
        <v>87</v>
      </c>
      <c r="B48" s="34" t="s">
        <v>87</v>
      </c>
      <c r="C48" t="b">
        <f t="shared" si="0"/>
        <v>1</v>
      </c>
    </row>
    <row r="49" spans="1:3" x14ac:dyDescent="0.25">
      <c r="A49" s="23" t="s">
        <v>88</v>
      </c>
      <c r="B49" s="34" t="s">
        <v>88</v>
      </c>
      <c r="C49" t="b">
        <f t="shared" si="0"/>
        <v>1</v>
      </c>
    </row>
    <row r="50" spans="1:3" x14ac:dyDescent="0.25">
      <c r="A50" s="19" t="s">
        <v>89</v>
      </c>
      <c r="B50" s="36" t="s">
        <v>89</v>
      </c>
      <c r="C50" t="b">
        <f t="shared" si="0"/>
        <v>1</v>
      </c>
    </row>
    <row r="51" spans="1:3" x14ac:dyDescent="0.25">
      <c r="A51" s="17" t="s">
        <v>90</v>
      </c>
      <c r="B51" s="34" t="s">
        <v>90</v>
      </c>
      <c r="C51" t="b">
        <f t="shared" si="0"/>
        <v>1</v>
      </c>
    </row>
    <row r="52" spans="1:3" x14ac:dyDescent="0.25">
      <c r="A52" s="25" t="s">
        <v>91</v>
      </c>
      <c r="B52" s="35" t="s">
        <v>91</v>
      </c>
      <c r="C52" t="b">
        <f t="shared" si="0"/>
        <v>1</v>
      </c>
    </row>
    <row r="53" spans="1:3" x14ac:dyDescent="0.25">
      <c r="A53" s="20" t="s">
        <v>92</v>
      </c>
      <c r="B53" s="34" t="s">
        <v>92</v>
      </c>
      <c r="C53" t="b">
        <f t="shared" si="0"/>
        <v>1</v>
      </c>
    </row>
    <row r="54" spans="1:3" x14ac:dyDescent="0.25">
      <c r="A54" s="28" t="s">
        <v>93</v>
      </c>
      <c r="B54" s="34" t="s">
        <v>93</v>
      </c>
      <c r="C54" t="b">
        <f t="shared" si="0"/>
        <v>1</v>
      </c>
    </row>
    <row r="55" spans="1:3" x14ac:dyDescent="0.25">
      <c r="A55" s="25" t="s">
        <v>94</v>
      </c>
      <c r="B55" s="34" t="s">
        <v>94</v>
      </c>
      <c r="C55" t="b">
        <f t="shared" si="0"/>
        <v>1</v>
      </c>
    </row>
    <row r="56" spans="1:3" x14ac:dyDescent="0.25">
      <c r="A56" s="20" t="s">
        <v>95</v>
      </c>
      <c r="B56" s="34" t="s">
        <v>95</v>
      </c>
      <c r="C56" t="b">
        <f t="shared" si="0"/>
        <v>1</v>
      </c>
    </row>
    <row r="57" spans="1:3" x14ac:dyDescent="0.25">
      <c r="A57" s="17" t="s">
        <v>96</v>
      </c>
      <c r="B57" s="34" t="s">
        <v>96</v>
      </c>
      <c r="C57" t="b">
        <f t="shared" si="0"/>
        <v>1</v>
      </c>
    </row>
    <row r="58" spans="1:3" x14ac:dyDescent="0.25">
      <c r="A58" s="25" t="s">
        <v>97</v>
      </c>
      <c r="B58" s="37" t="s">
        <v>97</v>
      </c>
      <c r="C58" t="b">
        <f t="shared" si="0"/>
        <v>1</v>
      </c>
    </row>
    <row r="59" spans="1:3" x14ac:dyDescent="0.25">
      <c r="A59" s="29" t="s">
        <v>98</v>
      </c>
      <c r="B59" s="37" t="s">
        <v>98</v>
      </c>
      <c r="C59" t="b">
        <f t="shared" si="0"/>
        <v>1</v>
      </c>
    </row>
    <row r="60" spans="1:3" x14ac:dyDescent="0.25">
      <c r="A60" s="18" t="s">
        <v>99</v>
      </c>
      <c r="B60" s="37" t="s">
        <v>99</v>
      </c>
      <c r="C60" t="b">
        <f t="shared" si="0"/>
        <v>1</v>
      </c>
    </row>
    <row r="61" spans="1:3" x14ac:dyDescent="0.25">
      <c r="A61" s="24" t="s">
        <v>100</v>
      </c>
      <c r="B61" s="37" t="s">
        <v>100</v>
      </c>
      <c r="C61" t="b">
        <f t="shared" si="0"/>
        <v>1</v>
      </c>
    </row>
    <row r="62" spans="1:3" x14ac:dyDescent="0.25">
      <c r="A62" s="15" t="s">
        <v>101</v>
      </c>
      <c r="B62" s="38" t="s">
        <v>101</v>
      </c>
      <c r="C62" t="b">
        <f t="shared" si="0"/>
        <v>1</v>
      </c>
    </row>
    <row r="63" spans="1:3" x14ac:dyDescent="0.25">
      <c r="A63" s="25" t="s">
        <v>102</v>
      </c>
      <c r="B63" s="37" t="s">
        <v>102</v>
      </c>
      <c r="C63" t="b">
        <f t="shared" si="0"/>
        <v>1</v>
      </c>
    </row>
    <row r="64" spans="1:3" x14ac:dyDescent="0.25">
      <c r="A64" s="23" t="s">
        <v>103</v>
      </c>
      <c r="B64" s="37" t="s">
        <v>103</v>
      </c>
      <c r="C64" t="b">
        <f t="shared" si="0"/>
        <v>1</v>
      </c>
    </row>
    <row r="65" spans="1:3" x14ac:dyDescent="0.25">
      <c r="A65" s="22" t="s">
        <v>104</v>
      </c>
      <c r="B65" s="37" t="s">
        <v>104</v>
      </c>
      <c r="C65" t="b">
        <f t="shared" si="0"/>
        <v>1</v>
      </c>
    </row>
    <row r="66" spans="1:3" x14ac:dyDescent="0.25">
      <c r="A66" s="16" t="s">
        <v>105</v>
      </c>
      <c r="B66" s="37" t="s">
        <v>105</v>
      </c>
      <c r="C66" t="b">
        <f t="shared" ref="C66:C95" si="1">EXACT(A66,B66)</f>
        <v>1</v>
      </c>
    </row>
    <row r="67" spans="1:3" x14ac:dyDescent="0.25">
      <c r="A67" s="29" t="s">
        <v>106</v>
      </c>
      <c r="B67" s="37" t="s">
        <v>106</v>
      </c>
      <c r="C67" t="b">
        <f t="shared" si="1"/>
        <v>1</v>
      </c>
    </row>
    <row r="68" spans="1:3" x14ac:dyDescent="0.25">
      <c r="A68" s="30" t="s">
        <v>107</v>
      </c>
      <c r="B68" s="39" t="s">
        <v>107</v>
      </c>
      <c r="C68" t="b">
        <f t="shared" si="1"/>
        <v>1</v>
      </c>
    </row>
    <row r="69" spans="1:3" x14ac:dyDescent="0.25">
      <c r="A69" s="11" t="s">
        <v>108</v>
      </c>
      <c r="B69" s="37" t="s">
        <v>108</v>
      </c>
      <c r="C69" t="b">
        <f t="shared" si="1"/>
        <v>1</v>
      </c>
    </row>
    <row r="70" spans="1:3" x14ac:dyDescent="0.25">
      <c r="A70" s="24" t="s">
        <v>109</v>
      </c>
      <c r="B70" s="37" t="s">
        <v>109</v>
      </c>
      <c r="C70" t="b">
        <f t="shared" si="1"/>
        <v>1</v>
      </c>
    </row>
    <row r="71" spans="1:3" x14ac:dyDescent="0.25">
      <c r="A71" s="31" t="s">
        <v>110</v>
      </c>
      <c r="B71" s="37" t="s">
        <v>110</v>
      </c>
      <c r="C71" t="b">
        <f t="shared" si="1"/>
        <v>1</v>
      </c>
    </row>
    <row r="72" spans="1:3" x14ac:dyDescent="0.25">
      <c r="A72" s="11" t="s">
        <v>111</v>
      </c>
      <c r="B72" s="37" t="s">
        <v>111</v>
      </c>
      <c r="C72" t="b">
        <f t="shared" si="1"/>
        <v>1</v>
      </c>
    </row>
    <row r="73" spans="1:3" x14ac:dyDescent="0.25">
      <c r="A73" s="24" t="s">
        <v>112</v>
      </c>
      <c r="B73" s="37" t="s">
        <v>112</v>
      </c>
      <c r="C73" t="b">
        <f t="shared" si="1"/>
        <v>1</v>
      </c>
    </row>
    <row r="74" spans="1:3" x14ac:dyDescent="0.25">
      <c r="A74" s="9" t="s">
        <v>113</v>
      </c>
      <c r="B74" s="37" t="s">
        <v>113</v>
      </c>
      <c r="C74" t="b">
        <f t="shared" si="1"/>
        <v>1</v>
      </c>
    </row>
    <row r="75" spans="1:3" x14ac:dyDescent="0.25">
      <c r="A75" s="9" t="s">
        <v>114</v>
      </c>
      <c r="B75" s="37" t="s">
        <v>114</v>
      </c>
      <c r="C75" t="b">
        <f t="shared" si="1"/>
        <v>1</v>
      </c>
    </row>
    <row r="76" spans="1:3" x14ac:dyDescent="0.25">
      <c r="A76" s="12" t="s">
        <v>115</v>
      </c>
      <c r="B76" s="37" t="s">
        <v>115</v>
      </c>
      <c r="C76" t="b">
        <f t="shared" si="1"/>
        <v>1</v>
      </c>
    </row>
    <row r="77" spans="1:3" x14ac:dyDescent="0.25">
      <c r="A77" s="16" t="s">
        <v>116</v>
      </c>
      <c r="B77" s="37" t="s">
        <v>116</v>
      </c>
      <c r="C77" t="b">
        <f t="shared" si="1"/>
        <v>1</v>
      </c>
    </row>
    <row r="78" spans="1:3" x14ac:dyDescent="0.25">
      <c r="A78" s="12" t="s">
        <v>117</v>
      </c>
      <c r="B78" s="37" t="s">
        <v>117</v>
      </c>
      <c r="C78" t="b">
        <f t="shared" si="1"/>
        <v>1</v>
      </c>
    </row>
    <row r="79" spans="1:3" x14ac:dyDescent="0.25">
      <c r="A79" s="16" t="s">
        <v>118</v>
      </c>
      <c r="B79" s="37" t="s">
        <v>118</v>
      </c>
      <c r="C79" t="b">
        <f t="shared" si="1"/>
        <v>1</v>
      </c>
    </row>
    <row r="80" spans="1:3" x14ac:dyDescent="0.25">
      <c r="A80" s="12" t="s">
        <v>119</v>
      </c>
      <c r="B80" s="37" t="s">
        <v>119</v>
      </c>
      <c r="C80" t="b">
        <f t="shared" si="1"/>
        <v>1</v>
      </c>
    </row>
    <row r="81" spans="1:3" x14ac:dyDescent="0.25">
      <c r="A81" s="14" t="s">
        <v>120</v>
      </c>
      <c r="B81" s="39" t="s">
        <v>120</v>
      </c>
      <c r="C81" t="b">
        <f t="shared" si="1"/>
        <v>1</v>
      </c>
    </row>
    <row r="82" spans="1:3" x14ac:dyDescent="0.25">
      <c r="A82" s="11" t="s">
        <v>121</v>
      </c>
      <c r="B82" s="37" t="s">
        <v>121</v>
      </c>
      <c r="C82" t="b">
        <f t="shared" si="1"/>
        <v>1</v>
      </c>
    </row>
    <row r="83" spans="1:3" x14ac:dyDescent="0.25">
      <c r="A83" s="29" t="s">
        <v>122</v>
      </c>
      <c r="B83" s="37" t="s">
        <v>122</v>
      </c>
      <c r="C83" t="b">
        <f t="shared" si="1"/>
        <v>1</v>
      </c>
    </row>
    <row r="84" spans="1:3" x14ac:dyDescent="0.25">
      <c r="A84" s="32" t="s">
        <v>123</v>
      </c>
      <c r="B84" s="37" t="s">
        <v>123</v>
      </c>
      <c r="C84" t="b">
        <f t="shared" si="1"/>
        <v>1</v>
      </c>
    </row>
    <row r="85" spans="1:3" x14ac:dyDescent="0.25">
      <c r="A85" s="9" t="s">
        <v>124</v>
      </c>
      <c r="B85" s="37" t="s">
        <v>124</v>
      </c>
      <c r="C85" t="b">
        <f t="shared" si="1"/>
        <v>1</v>
      </c>
    </row>
    <row r="86" spans="1:3" x14ac:dyDescent="0.25">
      <c r="A86" s="13" t="s">
        <v>125</v>
      </c>
      <c r="B86" s="37" t="s">
        <v>125</v>
      </c>
      <c r="C86" t="b">
        <f t="shared" si="1"/>
        <v>1</v>
      </c>
    </row>
    <row r="87" spans="1:3" x14ac:dyDescent="0.25">
      <c r="A87" s="13" t="s">
        <v>126</v>
      </c>
      <c r="B87" s="37" t="s">
        <v>126</v>
      </c>
      <c r="C87" t="b">
        <f t="shared" si="1"/>
        <v>1</v>
      </c>
    </row>
    <row r="88" spans="1:3" x14ac:dyDescent="0.25">
      <c r="A88" s="30" t="s">
        <v>127</v>
      </c>
      <c r="B88" s="39" t="s">
        <v>127</v>
      </c>
      <c r="C88" t="b">
        <f t="shared" si="1"/>
        <v>1</v>
      </c>
    </row>
    <row r="89" spans="1:3" x14ac:dyDescent="0.25">
      <c r="A89" s="9" t="s">
        <v>128</v>
      </c>
      <c r="B89" s="37" t="s">
        <v>128</v>
      </c>
      <c r="C89" t="b">
        <f t="shared" si="1"/>
        <v>1</v>
      </c>
    </row>
    <row r="90" spans="1:3" x14ac:dyDescent="0.25">
      <c r="A90" s="24" t="s">
        <v>129</v>
      </c>
      <c r="B90" s="37" t="s">
        <v>129</v>
      </c>
      <c r="C90" t="b">
        <f t="shared" si="1"/>
        <v>1</v>
      </c>
    </row>
    <row r="91" spans="1:3" x14ac:dyDescent="0.25">
      <c r="A91" s="9" t="s">
        <v>130</v>
      </c>
      <c r="B91" s="37" t="s">
        <v>130</v>
      </c>
      <c r="C91" t="b">
        <f t="shared" si="1"/>
        <v>1</v>
      </c>
    </row>
    <row r="92" spans="1:3" x14ac:dyDescent="0.25">
      <c r="A92" s="16" t="s">
        <v>131</v>
      </c>
      <c r="B92" s="37" t="s">
        <v>131</v>
      </c>
      <c r="C92" t="b">
        <f t="shared" si="1"/>
        <v>1</v>
      </c>
    </row>
    <row r="93" spans="1:3" x14ac:dyDescent="0.25">
      <c r="A93" s="32" t="s">
        <v>132</v>
      </c>
      <c r="B93" s="37" t="s">
        <v>132</v>
      </c>
      <c r="C93" t="b">
        <f t="shared" si="1"/>
        <v>1</v>
      </c>
    </row>
    <row r="94" spans="1:3" x14ac:dyDescent="0.25">
      <c r="A94" s="29" t="s">
        <v>133</v>
      </c>
      <c r="B94" s="37" t="s">
        <v>133</v>
      </c>
      <c r="C94" t="b">
        <f t="shared" si="1"/>
        <v>1</v>
      </c>
    </row>
    <row r="95" spans="1:3" x14ac:dyDescent="0.25">
      <c r="A95" s="9" t="s">
        <v>134</v>
      </c>
      <c r="B95" s="37" t="s">
        <v>134</v>
      </c>
      <c r="C95" t="b">
        <f t="shared" si="1"/>
        <v>1</v>
      </c>
    </row>
  </sheetData>
  <conditionalFormatting sqref="A1">
    <cfRule type="duplicateValues" dxfId="1" priority="1"/>
  </conditionalFormatting>
  <conditionalFormatting sqref="A2:A30 A32:A6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Administrativa</dc:creator>
  <cp:lastModifiedBy>Andres Provero</cp:lastModifiedBy>
  <dcterms:created xsi:type="dcterms:W3CDTF">2024-09-09T22:03:07Z</dcterms:created>
  <dcterms:modified xsi:type="dcterms:W3CDTF">2026-05-18T17:20:22Z</dcterms:modified>
</cp:coreProperties>
</file>